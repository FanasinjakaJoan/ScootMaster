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5220" windowWidth="19440" windowHeight="6420" activeTab="2"/>
  </bookViews>
  <sheets>
    <sheet name="DB_1,0" sheetId="8" r:id="rId1"/>
    <sheet name="DB_ClientSM" sheetId="16" r:id="rId2"/>
    <sheet name="Double_C" sheetId="19" r:id="rId3"/>
    <sheet name="prix pieces refa hanao achat" sheetId="20" r:id="rId4"/>
    <sheet name="DB_Pièces_SM" sheetId="18" r:id="rId5"/>
    <sheet name="Liste prospects" sheetId="6" r:id="rId6"/>
    <sheet name="DB" sheetId="1" r:id="rId7"/>
    <sheet name="Liste ventes motos" sheetId="2" r:id="rId8"/>
    <sheet name="liste achats" sheetId="10" r:id="rId9"/>
    <sheet name="Ventes pieces" sheetId="12" r:id="rId10"/>
    <sheet name="Capital Dada sy Neny" sheetId="4" r:id="rId11"/>
    <sheet name="Dépenses_Se04" sheetId="14" r:id="rId12"/>
    <sheet name="Dépenses_Se03" sheetId="11" r:id="rId13"/>
    <sheet name="Détails Sortie S02" sheetId="7" r:id="rId14"/>
    <sheet name="Flux S04" sheetId="13" r:id="rId15"/>
    <sheet name="FLux S03" sheetId="9" r:id="rId16"/>
    <sheet name="Flux E-S S02" sheetId="3" r:id="rId17"/>
  </sheets>
  <definedNames>
    <definedName name="_xlnm._FilterDatabase" localSheetId="0" hidden="1">'DB_1,0'!$A$9:$O$873</definedName>
    <definedName name="_xlnm._FilterDatabase" localSheetId="1" hidden="1">DB_ClientSM!$A$5:$W$697</definedName>
    <definedName name="_xlnm._FilterDatabase" localSheetId="4" hidden="1">DB_Pièces_SM!$A$4:$C$9</definedName>
  </definedNames>
  <calcPr calcId="144525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4" i="19" l="1"/>
  <c r="G52" i="19"/>
  <c r="G53" i="19"/>
  <c r="G51" i="19"/>
  <c r="G50" i="19"/>
  <c r="G66" i="19" s="1"/>
  <c r="G49" i="19"/>
  <c r="G48" i="19"/>
  <c r="G47" i="19"/>
  <c r="G46" i="19"/>
  <c r="E34" i="19" l="1"/>
  <c r="E35" i="19" l="1"/>
  <c r="F616" i="8" l="1"/>
  <c r="G817" i="8"/>
  <c r="F817" i="8"/>
  <c r="D817" i="8"/>
  <c r="G672" i="8"/>
  <c r="F672" i="8"/>
  <c r="G616" i="8" l="1"/>
  <c r="G673" i="8"/>
  <c r="F673" i="8"/>
  <c r="N657" i="8" l="1"/>
  <c r="N658" i="8"/>
  <c r="N659" i="8"/>
  <c r="N660" i="8"/>
  <c r="N661" i="8"/>
  <c r="N662" i="8"/>
  <c r="N663" i="8"/>
  <c r="N664" i="8"/>
  <c r="N665" i="8"/>
  <c r="N666" i="8"/>
  <c r="N667" i="8"/>
  <c r="N668" i="8"/>
  <c r="G675" i="8" l="1"/>
  <c r="F675" i="8"/>
  <c r="N656" i="8" l="1"/>
  <c r="N655" i="8"/>
  <c r="N675" i="8" l="1"/>
  <c r="G677" i="8"/>
  <c r="F677" i="8"/>
  <c r="G678" i="8" l="1"/>
  <c r="F678" i="8"/>
  <c r="G679" i="8" l="1"/>
  <c r="F679" i="8"/>
  <c r="G680" i="8" l="1"/>
  <c r="F680" i="8"/>
  <c r="N648" i="8" l="1"/>
  <c r="N649" i="8"/>
  <c r="N650" i="8"/>
  <c r="N651" i="8"/>
  <c r="N652" i="8"/>
  <c r="N653" i="8"/>
  <c r="N680" i="8" s="1"/>
  <c r="N654" i="8"/>
  <c r="N678" i="8" s="1"/>
  <c r="G681" i="8" l="1"/>
  <c r="F681" i="8"/>
  <c r="G682" i="8" l="1"/>
  <c r="F682" i="8"/>
  <c r="G683" i="8" l="1"/>
  <c r="F683" i="8"/>
  <c r="G684" i="8" l="1"/>
  <c r="F684" i="8"/>
  <c r="G685" i="8" l="1"/>
  <c r="F685" i="8"/>
  <c r="G686" i="8" l="1"/>
  <c r="F686" i="8"/>
  <c r="N633" i="8" l="1"/>
  <c r="N634" i="8"/>
  <c r="N635" i="8"/>
  <c r="N636" i="8"/>
  <c r="N637" i="8"/>
  <c r="N679" i="8" s="1"/>
  <c r="N638" i="8"/>
  <c r="N683" i="8" s="1"/>
  <c r="N639" i="8"/>
  <c r="N640" i="8"/>
  <c r="N672" i="8" s="1"/>
  <c r="N641" i="8"/>
  <c r="N642" i="8"/>
  <c r="N643" i="8"/>
  <c r="N677" i="8" s="1"/>
  <c r="N644" i="8"/>
  <c r="N645" i="8"/>
  <c r="N646" i="8"/>
  <c r="N647" i="8"/>
  <c r="G689" i="8"/>
  <c r="F689" i="8"/>
  <c r="N682" i="8" l="1"/>
  <c r="N685" i="8"/>
  <c r="G687" i="8"/>
  <c r="F687" i="8"/>
  <c r="G688" i="8" l="1"/>
  <c r="F688" i="8"/>
  <c r="N628" i="8" l="1"/>
  <c r="N629" i="8"/>
  <c r="N612" i="8"/>
  <c r="N618" i="8" l="1"/>
  <c r="N619" i="8"/>
  <c r="N620" i="8"/>
  <c r="N621" i="8"/>
  <c r="N622" i="8"/>
  <c r="N623" i="8"/>
  <c r="N624" i="8"/>
  <c r="N625" i="8"/>
  <c r="N684" i="8" s="1"/>
  <c r="N626" i="8"/>
  <c r="N627" i="8"/>
  <c r="N630" i="8"/>
  <c r="N631" i="8"/>
  <c r="N632" i="8"/>
  <c r="N681" i="8" s="1"/>
  <c r="N617" i="8" l="1"/>
  <c r="G690" i="8" l="1"/>
  <c r="F690" i="8"/>
  <c r="G691" i="8" l="1"/>
  <c r="F691" i="8"/>
  <c r="N609" i="8" l="1"/>
  <c r="N610" i="8"/>
  <c r="N611" i="8"/>
  <c r="N613" i="8"/>
  <c r="N614" i="8"/>
  <c r="N615" i="8"/>
  <c r="N616" i="8"/>
  <c r="G693" i="8" l="1"/>
  <c r="F693" i="8"/>
  <c r="N608" i="8" l="1"/>
  <c r="N607" i="8"/>
  <c r="N686" i="8" s="1"/>
  <c r="N606" i="8"/>
  <c r="N605" i="8"/>
  <c r="N604" i="8"/>
  <c r="N602" i="8"/>
  <c r="N687" i="8" s="1"/>
  <c r="G694" i="8" l="1"/>
  <c r="F694" i="8"/>
  <c r="N593" i="8" l="1"/>
  <c r="N594" i="8"/>
  <c r="N595" i="8"/>
  <c r="N596" i="8"/>
  <c r="N597" i="8"/>
  <c r="N598" i="8"/>
  <c r="N599" i="8"/>
  <c r="N600" i="8"/>
  <c r="N601" i="8"/>
  <c r="N603" i="8"/>
  <c r="G695" i="8" l="1"/>
  <c r="F695" i="8"/>
  <c r="G696" i="8" l="1"/>
  <c r="F696" i="8"/>
  <c r="N592" i="8" l="1"/>
  <c r="G697" i="8" l="1"/>
  <c r="F697" i="8"/>
  <c r="N591" i="8" l="1"/>
  <c r="N590" i="8"/>
  <c r="N589" i="8"/>
  <c r="N588" i="8"/>
  <c r="N694" i="8" s="1"/>
  <c r="N587" i="8"/>
  <c r="N586" i="8"/>
  <c r="N695" i="8" s="1"/>
  <c r="N585" i="8"/>
  <c r="N584" i="8"/>
  <c r="N583" i="8"/>
  <c r="N690" i="8" s="1"/>
  <c r="N582" i="8"/>
  <c r="N581" i="8"/>
  <c r="G698" i="8"/>
  <c r="F698" i="8"/>
  <c r="G699" i="8" l="1"/>
  <c r="F699" i="8"/>
  <c r="G700" i="8" l="1"/>
  <c r="F700" i="8"/>
  <c r="N572" i="8" l="1"/>
  <c r="N573" i="8"/>
  <c r="N574" i="8"/>
  <c r="N575" i="8"/>
  <c r="N688" i="8" s="1"/>
  <c r="N576" i="8"/>
  <c r="N577" i="8"/>
  <c r="N578" i="8"/>
  <c r="N698" i="8" s="1"/>
  <c r="N579" i="8"/>
  <c r="N696" i="8" s="1"/>
  <c r="N580" i="8"/>
  <c r="N700" i="8" l="1"/>
  <c r="G701" i="8"/>
  <c r="F701" i="8"/>
  <c r="I387" i="8" l="1"/>
  <c r="G702" i="8" l="1"/>
  <c r="F702" i="8"/>
  <c r="N571" i="8"/>
  <c r="G703" i="8" l="1"/>
  <c r="F703" i="8"/>
  <c r="N565" i="8" l="1"/>
  <c r="N566" i="8"/>
  <c r="N567" i="8"/>
  <c r="N568" i="8"/>
  <c r="N569" i="8"/>
  <c r="N570" i="8"/>
  <c r="N699" i="8" l="1"/>
  <c r="G704" i="8"/>
  <c r="F704" i="8"/>
  <c r="N559" i="8" l="1"/>
  <c r="N560" i="8"/>
  <c r="N561" i="8"/>
  <c r="N562" i="8"/>
  <c r="N693" i="8" s="1"/>
  <c r="N563" i="8"/>
  <c r="N702" i="8" s="1"/>
  <c r="N564" i="8"/>
  <c r="N701" i="8" s="1"/>
  <c r="G705" i="8" l="1"/>
  <c r="F705" i="8"/>
  <c r="N556" i="8" l="1"/>
  <c r="N557" i="8"/>
  <c r="N558" i="8"/>
  <c r="G706" i="8" l="1"/>
  <c r="F706" i="8"/>
  <c r="N553" i="8" l="1"/>
  <c r="N554" i="8"/>
  <c r="N555" i="8"/>
  <c r="N706" i="8" l="1"/>
  <c r="G707" i="8"/>
  <c r="F707" i="8"/>
  <c r="N546" i="8" l="1"/>
  <c r="N697" i="8" s="1"/>
  <c r="N547" i="8"/>
  <c r="N548" i="8"/>
  <c r="N549" i="8"/>
  <c r="N705" i="8" s="1"/>
  <c r="N550" i="8"/>
  <c r="N673" i="8" s="1"/>
  <c r="N551" i="8"/>
  <c r="N552" i="8"/>
  <c r="G708" i="8" l="1"/>
  <c r="F708" i="8"/>
  <c r="N544" i="8" l="1"/>
  <c r="N545" i="8"/>
  <c r="N539" i="8" l="1"/>
  <c r="N704" i="8" s="1"/>
  <c r="N540" i="8"/>
  <c r="N541" i="8"/>
  <c r="N703" i="8" s="1"/>
  <c r="N542" i="8"/>
  <c r="N543" i="8"/>
  <c r="N708" i="8" l="1"/>
  <c r="G709" i="8"/>
  <c r="F709" i="8"/>
  <c r="I483" i="8" l="1"/>
  <c r="G710" i="8" l="1"/>
  <c r="F710" i="8"/>
  <c r="G711" i="8" l="1"/>
  <c r="F711" i="8"/>
  <c r="N533" i="8" l="1"/>
  <c r="N534" i="8"/>
  <c r="N535" i="8"/>
  <c r="N709" i="8" s="1"/>
  <c r="N536" i="8"/>
  <c r="N537" i="8"/>
  <c r="N538" i="8"/>
  <c r="N710" i="8" l="1"/>
  <c r="G712" i="8"/>
  <c r="F712" i="8"/>
  <c r="G713" i="8" l="1"/>
  <c r="F713" i="8"/>
  <c r="N526" i="8" l="1"/>
  <c r="N527" i="8"/>
  <c r="N707" i="8" s="1"/>
  <c r="N528" i="8"/>
  <c r="N529" i="8"/>
  <c r="N530" i="8"/>
  <c r="N531" i="8"/>
  <c r="N532" i="8"/>
  <c r="N711" i="8" l="1"/>
  <c r="G714" i="8" l="1"/>
  <c r="F714" i="8"/>
  <c r="G715" i="8" l="1"/>
  <c r="F715" i="8"/>
  <c r="N516" i="8" l="1"/>
  <c r="N517" i="8"/>
  <c r="N518" i="8"/>
  <c r="N519" i="8"/>
  <c r="N520" i="8"/>
  <c r="N521" i="8"/>
  <c r="N522" i="8"/>
  <c r="N523" i="8"/>
  <c r="N524" i="8"/>
  <c r="N525" i="8"/>
  <c r="N712" i="8" l="1"/>
  <c r="G716" i="8"/>
  <c r="F716" i="8"/>
  <c r="G718" i="8" l="1"/>
  <c r="F718" i="8"/>
  <c r="G719" i="8" l="1"/>
  <c r="F719" i="8"/>
  <c r="G720" i="8" l="1"/>
  <c r="F720" i="8" l="1"/>
  <c r="N497" i="8"/>
  <c r="N498" i="8"/>
  <c r="N499" i="8"/>
  <c r="N500" i="8"/>
  <c r="N501" i="8"/>
  <c r="N502" i="8"/>
  <c r="N503" i="8"/>
  <c r="N504" i="8"/>
  <c r="N715" i="8" s="1"/>
  <c r="N505" i="8"/>
  <c r="N506" i="8"/>
  <c r="N507" i="8"/>
  <c r="N508" i="8"/>
  <c r="N509" i="8"/>
  <c r="N510" i="8"/>
  <c r="N511" i="8"/>
  <c r="N512" i="8"/>
  <c r="N513" i="8"/>
  <c r="N514" i="8"/>
  <c r="N515" i="8"/>
  <c r="N713" i="8" l="1"/>
  <c r="N716" i="8"/>
  <c r="N714" i="8"/>
  <c r="N718" i="8"/>
  <c r="N719" i="8"/>
  <c r="N720" i="8"/>
  <c r="G721" i="8" l="1"/>
  <c r="F721" i="8"/>
  <c r="F722" i="8"/>
  <c r="G722" i="8" l="1"/>
  <c r="G723" i="8" l="1"/>
  <c r="F723" i="8"/>
  <c r="N495" i="8" l="1"/>
  <c r="N496" i="8"/>
  <c r="F724" i="8" l="1"/>
  <c r="G724" i="8"/>
  <c r="J483" i="8" l="1"/>
  <c r="G725" i="8" l="1"/>
  <c r="F725" i="8"/>
  <c r="N489" i="8"/>
  <c r="N490" i="8"/>
  <c r="N491" i="8"/>
  <c r="N492" i="8"/>
  <c r="N493" i="8"/>
  <c r="N494" i="8"/>
  <c r="N481" i="8" l="1"/>
  <c r="N482" i="8"/>
  <c r="N483" i="8"/>
  <c r="N484" i="8"/>
  <c r="N485" i="8"/>
  <c r="N722" i="8" s="1"/>
  <c r="N486" i="8"/>
  <c r="N487" i="8"/>
  <c r="N721" i="8" s="1"/>
  <c r="N488" i="8"/>
  <c r="N723" i="8" s="1"/>
  <c r="G727" i="8" l="1"/>
  <c r="F727" i="8"/>
  <c r="G728" i="8" l="1"/>
  <c r="F728" i="8"/>
  <c r="G729" i="8" l="1"/>
  <c r="F729" i="8"/>
  <c r="F730" i="8" l="1"/>
  <c r="N476" i="8" l="1"/>
  <c r="N477" i="8"/>
  <c r="N478" i="8"/>
  <c r="N479" i="8"/>
  <c r="N480" i="8"/>
  <c r="G730" i="8" l="1"/>
  <c r="N470" i="8" l="1"/>
  <c r="N728" i="8" s="1"/>
  <c r="N471" i="8"/>
  <c r="N724" i="8" s="1"/>
  <c r="N472" i="8"/>
  <c r="N689" i="8" s="1"/>
  <c r="N473" i="8"/>
  <c r="N725" i="8" s="1"/>
  <c r="N474" i="8"/>
  <c r="N475" i="8"/>
  <c r="G731" i="8" l="1"/>
  <c r="F731" i="8"/>
  <c r="G732" i="8" l="1"/>
  <c r="F732" i="8"/>
  <c r="G733" i="8" l="1"/>
  <c r="F733" i="8"/>
  <c r="G734" i="8" l="1"/>
  <c r="F734" i="8"/>
  <c r="N460" i="8"/>
  <c r="N461" i="8"/>
  <c r="N462" i="8"/>
  <c r="N733" i="8" s="1"/>
  <c r="N463" i="8"/>
  <c r="N727" i="8" s="1"/>
  <c r="N464" i="8"/>
  <c r="N465" i="8"/>
  <c r="N466" i="8"/>
  <c r="N467" i="8"/>
  <c r="N730" i="8" s="1"/>
  <c r="N468" i="8"/>
  <c r="N469" i="8"/>
  <c r="N729" i="8" s="1"/>
  <c r="N732" i="8" l="1"/>
  <c r="G735" i="8"/>
  <c r="F735" i="8"/>
  <c r="G736" i="8" l="1"/>
  <c r="F736" i="8"/>
  <c r="N450" i="8" l="1"/>
  <c r="N451" i="8"/>
  <c r="N452" i="8"/>
  <c r="N453" i="8"/>
  <c r="N454" i="8"/>
  <c r="N455" i="8"/>
  <c r="N456" i="8"/>
  <c r="N457" i="8"/>
  <c r="N458" i="8"/>
  <c r="N459" i="8"/>
  <c r="N735" i="8" l="1"/>
  <c r="N736" i="8"/>
  <c r="G737" i="8"/>
  <c r="F737" i="8"/>
  <c r="G738" i="8" l="1"/>
  <c r="F738" i="8"/>
  <c r="N446" i="8" l="1"/>
  <c r="N447" i="8"/>
  <c r="N448" i="8"/>
  <c r="N449" i="8"/>
  <c r="G739" i="8" l="1"/>
  <c r="F739" i="8"/>
  <c r="G740" i="8" l="1"/>
  <c r="F740" i="8"/>
  <c r="N436" i="8" l="1"/>
  <c r="N437" i="8"/>
  <c r="N438" i="8"/>
  <c r="N439" i="8"/>
  <c r="N440" i="8"/>
  <c r="N731" i="8" s="1"/>
  <c r="N441" i="8"/>
  <c r="N442" i="8"/>
  <c r="N443" i="8"/>
  <c r="N444" i="8"/>
  <c r="N445" i="8"/>
  <c r="N738" i="8" s="1"/>
  <c r="N740" i="8" l="1"/>
  <c r="G741" i="8"/>
  <c r="F741" i="8"/>
  <c r="G742" i="8" l="1"/>
  <c r="F742" i="8"/>
  <c r="G743" i="8" l="1"/>
  <c r="F743" i="8"/>
  <c r="G744" i="8" l="1"/>
  <c r="F744" i="8"/>
  <c r="N428" i="8" l="1"/>
  <c r="N429" i="8"/>
  <c r="N430" i="8"/>
  <c r="N431" i="8"/>
  <c r="N432" i="8"/>
  <c r="N433" i="8"/>
  <c r="N434" i="8"/>
  <c r="N743" i="8" s="1"/>
  <c r="N435" i="8"/>
  <c r="G745" i="8" l="1"/>
  <c r="F745" i="8"/>
  <c r="G747" i="8" l="1"/>
  <c r="F747" i="8"/>
  <c r="G748" i="8" l="1"/>
  <c r="F748" i="8"/>
  <c r="N421" i="8"/>
  <c r="N422" i="8"/>
  <c r="N423" i="8"/>
  <c r="N741" i="8" s="1"/>
  <c r="N424" i="8"/>
  <c r="N739" i="8" s="1"/>
  <c r="N425" i="8"/>
  <c r="N747" i="8" s="1"/>
  <c r="N426" i="8"/>
  <c r="N427" i="8"/>
  <c r="N744" i="8" s="1"/>
  <c r="N737" i="8" l="1"/>
  <c r="G749" i="8"/>
  <c r="F749" i="8"/>
  <c r="D749" i="8"/>
  <c r="G750" i="8" l="1"/>
  <c r="F750" i="8"/>
  <c r="N416" i="8" l="1"/>
  <c r="N745" i="8" s="1"/>
  <c r="N417" i="8"/>
  <c r="N418" i="8"/>
  <c r="N419" i="8"/>
  <c r="N420" i="8"/>
  <c r="N415" i="8" l="1"/>
  <c r="N413" i="8"/>
  <c r="N414" i="8"/>
  <c r="N750" i="8" l="1"/>
  <c r="G751" i="8"/>
  <c r="F751" i="8"/>
  <c r="G752" i="8" l="1"/>
  <c r="F752" i="8"/>
  <c r="F753" i="8"/>
  <c r="N409" i="8" l="1"/>
  <c r="N410" i="8"/>
  <c r="N411" i="8"/>
  <c r="N412" i="8"/>
  <c r="N751" i="8" l="1"/>
  <c r="G753" i="8"/>
  <c r="G754" i="8" l="1"/>
  <c r="F754" i="8"/>
  <c r="N408" i="8" l="1"/>
  <c r="N402" i="8" l="1"/>
  <c r="N403" i="8"/>
  <c r="N404" i="8"/>
  <c r="N405" i="8"/>
  <c r="N406" i="8"/>
  <c r="N407" i="8"/>
  <c r="G755" i="8" l="1"/>
  <c r="F755" i="8"/>
  <c r="N395" i="8" l="1"/>
  <c r="N396" i="8"/>
  <c r="N754" i="8" s="1"/>
  <c r="N397" i="8"/>
  <c r="N398" i="8"/>
  <c r="N399" i="8"/>
  <c r="N400" i="8"/>
  <c r="N401" i="8"/>
  <c r="N749" i="8" s="1"/>
  <c r="G756" i="8" l="1"/>
  <c r="F756" i="8"/>
  <c r="F757" i="8" l="1"/>
  <c r="G757" i="8" l="1"/>
  <c r="N394" i="8" l="1"/>
  <c r="G758" i="8" l="1"/>
  <c r="F758" i="8"/>
  <c r="J387" i="8"/>
  <c r="N388" i="8" l="1"/>
  <c r="N389" i="8"/>
  <c r="N390" i="8"/>
  <c r="N391" i="8"/>
  <c r="N755" i="8" s="1"/>
  <c r="N392" i="8"/>
  <c r="N393" i="8"/>
  <c r="N387" i="8"/>
  <c r="G759" i="8" l="1"/>
  <c r="F759" i="8"/>
  <c r="N386" i="8" l="1"/>
  <c r="G760" i="8" l="1"/>
  <c r="F760" i="8"/>
  <c r="N382" i="8" l="1"/>
  <c r="N381" i="8"/>
  <c r="N383" i="8" l="1"/>
  <c r="N384" i="8"/>
  <c r="N385" i="8"/>
  <c r="N752" i="8" s="1"/>
  <c r="G761" i="8" l="1"/>
  <c r="F761" i="8"/>
  <c r="N380" i="8" l="1"/>
  <c r="N372" i="8" l="1"/>
  <c r="N760" i="8" s="1"/>
  <c r="N373" i="8"/>
  <c r="N374" i="8"/>
  <c r="N375" i="8"/>
  <c r="N758" i="8" s="1"/>
  <c r="N376" i="8"/>
  <c r="N377" i="8"/>
  <c r="N378" i="8"/>
  <c r="N379" i="8"/>
  <c r="G762" i="8" l="1"/>
  <c r="F762" i="8"/>
  <c r="N369" i="8" l="1"/>
  <c r="N370" i="8"/>
  <c r="N759" i="8" s="1"/>
  <c r="N371" i="8"/>
  <c r="N368" i="8"/>
  <c r="G763" i="8" l="1"/>
  <c r="F763" i="8"/>
  <c r="G764" i="8" l="1"/>
  <c r="F764" i="8"/>
  <c r="N362" i="8" l="1"/>
  <c r="N363" i="8"/>
  <c r="N364" i="8"/>
  <c r="N365" i="8"/>
  <c r="N748" i="8" s="1"/>
  <c r="N366" i="8"/>
  <c r="N367" i="8"/>
  <c r="N761" i="8" s="1"/>
  <c r="N762" i="8" l="1"/>
  <c r="G766" i="8"/>
  <c r="F766" i="8"/>
  <c r="N324" i="8"/>
  <c r="N742" i="8" s="1"/>
  <c r="G765" i="8" l="1"/>
  <c r="F765" i="8"/>
  <c r="G767" i="8" l="1"/>
  <c r="F767" i="8"/>
  <c r="G768" i="8" l="1"/>
  <c r="F768" i="8"/>
  <c r="G769" i="8" l="1"/>
  <c r="F769" i="8"/>
  <c r="G770" i="8" l="1"/>
  <c r="F770" i="8"/>
  <c r="N361" i="8" l="1"/>
  <c r="N753" i="8" s="1"/>
  <c r="N341" i="8" l="1"/>
  <c r="N342" i="8"/>
  <c r="N343" i="8"/>
  <c r="N767" i="8" s="1"/>
  <c r="N344" i="8"/>
  <c r="N345" i="8"/>
  <c r="N346" i="8"/>
  <c r="N347" i="8"/>
  <c r="N348" i="8"/>
  <c r="N349" i="8"/>
  <c r="N765" i="8" s="1"/>
  <c r="N350" i="8"/>
  <c r="N351" i="8"/>
  <c r="N352" i="8"/>
  <c r="N756" i="8" s="1"/>
  <c r="N353" i="8"/>
  <c r="N354" i="8"/>
  <c r="N769" i="8" s="1"/>
  <c r="N355" i="8"/>
  <c r="N356" i="8"/>
  <c r="N357" i="8"/>
  <c r="N358" i="8"/>
  <c r="N359" i="8"/>
  <c r="N360" i="8"/>
  <c r="N763" i="8" l="1"/>
  <c r="N770" i="8"/>
  <c r="N766" i="8"/>
  <c r="N768" i="8"/>
  <c r="G771" i="8"/>
  <c r="F771" i="8"/>
  <c r="G772" i="8" l="1"/>
  <c r="F772" i="8"/>
  <c r="G773" i="8" l="1"/>
  <c r="F773" i="8"/>
  <c r="G774" i="8" l="1"/>
  <c r="F774" i="8"/>
  <c r="G775" i="8" l="1"/>
  <c r="F775" i="8"/>
  <c r="N330" i="8" l="1"/>
  <c r="N331" i="8"/>
  <c r="N332" i="8"/>
  <c r="N333" i="8"/>
  <c r="N334" i="8"/>
  <c r="N335" i="8"/>
  <c r="N336" i="8"/>
  <c r="N337" i="8"/>
  <c r="N734" i="8" s="1"/>
  <c r="N338" i="8"/>
  <c r="N339" i="8"/>
  <c r="N340" i="8"/>
  <c r="N764" i="8" s="1"/>
  <c r="G776" i="8" l="1"/>
  <c r="F776" i="8"/>
  <c r="N319" i="8" l="1"/>
  <c r="N320" i="8"/>
  <c r="N321" i="8"/>
  <c r="N322" i="8"/>
  <c r="N323" i="8"/>
  <c r="N325" i="8"/>
  <c r="N773" i="8" s="1"/>
  <c r="N326" i="8"/>
  <c r="N327" i="8"/>
  <c r="N328" i="8"/>
  <c r="N329" i="8"/>
  <c r="N774" i="8" l="1"/>
  <c r="G777" i="8"/>
  <c r="F777" i="8"/>
  <c r="G778" i="8" l="1"/>
  <c r="F778" i="8"/>
  <c r="N307" i="8" l="1"/>
  <c r="N776" i="8" s="1"/>
  <c r="N308" i="8"/>
  <c r="N309" i="8"/>
  <c r="N310" i="8"/>
  <c r="N311" i="8"/>
  <c r="N772" i="8" s="1"/>
  <c r="N312" i="8"/>
  <c r="N313" i="8"/>
  <c r="N314" i="8"/>
  <c r="N315" i="8"/>
  <c r="N316" i="8"/>
  <c r="N317" i="8"/>
  <c r="N318" i="8"/>
  <c r="N775" i="8" s="1"/>
  <c r="N777" i="8" l="1"/>
  <c r="G779" i="8"/>
  <c r="F779" i="8"/>
  <c r="G780" i="8" l="1"/>
  <c r="F780" i="8"/>
  <c r="D780" i="8"/>
  <c r="N303" i="8" l="1"/>
  <c r="N304" i="8"/>
  <c r="N305" i="8"/>
  <c r="N306" i="8"/>
  <c r="N270" i="8" l="1"/>
  <c r="N271" i="8"/>
  <c r="N757" i="8" s="1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779" i="8" l="1"/>
  <c r="G781" i="8"/>
  <c r="F781" i="8"/>
  <c r="D781" i="8"/>
  <c r="D782" i="8" l="1"/>
  <c r="G782" i="8"/>
  <c r="F782" i="8"/>
  <c r="G783" i="8" l="1"/>
  <c r="F783" i="8"/>
  <c r="D783" i="8"/>
  <c r="N269" i="8"/>
  <c r="N780" i="8" s="1"/>
  <c r="N264" i="8"/>
  <c r="N265" i="8"/>
  <c r="N266" i="8"/>
  <c r="N267" i="8"/>
  <c r="N268" i="8"/>
  <c r="A246" i="8" l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A603" i="8" l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02" i="8"/>
  <c r="G784" i="8"/>
  <c r="F784" i="8"/>
  <c r="D785" i="8" l="1"/>
  <c r="F785" i="8"/>
  <c r="N245" i="8"/>
  <c r="N782" i="8" s="1"/>
  <c r="G785" i="8"/>
  <c r="G786" i="8" l="1"/>
  <c r="F786" i="8"/>
  <c r="N219" i="8" l="1"/>
  <c r="N220" i="8"/>
  <c r="N221" i="8"/>
  <c r="N222" i="8"/>
  <c r="N783" i="8" s="1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781" i="8" s="1"/>
  <c r="N242" i="8"/>
  <c r="N243" i="8"/>
  <c r="N244" i="8"/>
  <c r="N217" i="8"/>
  <c r="N218" i="8"/>
  <c r="N216" i="8"/>
  <c r="N784" i="8" l="1"/>
  <c r="N785" i="8"/>
  <c r="G787" i="8"/>
  <c r="F787" i="8"/>
  <c r="G788" i="8" l="1"/>
  <c r="F788" i="8"/>
  <c r="F789" i="8" l="1"/>
  <c r="G789" i="8"/>
  <c r="G790" i="8"/>
  <c r="F790" i="8"/>
  <c r="D788" i="8" l="1"/>
  <c r="D789" i="8" l="1"/>
  <c r="M312" i="16" l="1"/>
  <c r="G791" i="8" l="1"/>
  <c r="F791" i="8"/>
  <c r="D792" i="8" l="1"/>
  <c r="M300" i="16"/>
  <c r="M299" i="16"/>
  <c r="M298" i="16"/>
  <c r="M297" i="16"/>
  <c r="M296" i="16"/>
  <c r="M295" i="16"/>
  <c r="M294" i="16"/>
  <c r="M293" i="16"/>
  <c r="M292" i="16"/>
  <c r="D793" i="8" l="1"/>
  <c r="F794" i="8" l="1"/>
  <c r="G794" i="8"/>
  <c r="M286" i="16" l="1"/>
  <c r="M285" i="16"/>
  <c r="M283" i="16"/>
  <c r="G795" i="8" l="1"/>
  <c r="F795" i="8"/>
  <c r="M280" i="16" l="1"/>
  <c r="M279" i="16"/>
  <c r="M277" i="16"/>
  <c r="M276" i="16"/>
  <c r="M275" i="16"/>
  <c r="M274" i="16"/>
  <c r="G796" i="8" l="1"/>
  <c r="F796" i="8"/>
  <c r="M273" i="16" l="1"/>
  <c r="G206" i="8" l="1"/>
  <c r="M270" i="16" l="1"/>
  <c r="M269" i="16"/>
  <c r="M267" i="16"/>
  <c r="M266" i="16"/>
  <c r="M265" i="16"/>
  <c r="M264" i="16"/>
  <c r="M263" i="16"/>
  <c r="M262" i="16"/>
  <c r="M261" i="16"/>
  <c r="M260" i="16"/>
  <c r="M259" i="16"/>
  <c r="M258" i="16"/>
  <c r="M257" i="16"/>
  <c r="M256" i="16"/>
  <c r="M255" i="16"/>
  <c r="M254" i="16"/>
  <c r="M253" i="16"/>
  <c r="M252" i="16"/>
  <c r="G797" i="8" l="1"/>
  <c r="F797" i="8"/>
  <c r="M251" i="16" l="1"/>
  <c r="M250" i="16" l="1"/>
  <c r="M249" i="16"/>
  <c r="M244" i="16"/>
  <c r="M243" i="16"/>
  <c r="M238" i="16"/>
  <c r="M237" i="16"/>
  <c r="N171" i="8" l="1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795" i="8" s="1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778" i="8" s="1"/>
  <c r="N213" i="8"/>
  <c r="N214" i="8"/>
  <c r="N215" i="8"/>
  <c r="N786" i="8" s="1"/>
  <c r="N169" i="8"/>
  <c r="N170" i="8"/>
  <c r="N787" i="8" l="1"/>
  <c r="N794" i="8"/>
  <c r="N796" i="8"/>
  <c r="G798" i="8"/>
  <c r="F798" i="8"/>
  <c r="M232" i="16"/>
  <c r="M231" i="16"/>
  <c r="M230" i="16"/>
  <c r="F119" i="8" l="1"/>
  <c r="M228" i="16" l="1"/>
  <c r="M227" i="16"/>
  <c r="G799" i="8"/>
  <c r="F799" i="8"/>
  <c r="M223" i="16" l="1"/>
  <c r="M222" i="16"/>
  <c r="M218" i="16"/>
  <c r="M217" i="16"/>
  <c r="M215" i="16"/>
  <c r="M214" i="16"/>
  <c r="G800" i="8" l="1"/>
  <c r="N159" i="8" l="1"/>
  <c r="E27" i="2"/>
  <c r="F125" i="8" l="1"/>
  <c r="F800" i="8" l="1"/>
  <c r="N168" i="8"/>
  <c r="F801" i="8" l="1"/>
  <c r="G123" i="8" l="1"/>
  <c r="G801" i="8" l="1"/>
  <c r="N165" i="8"/>
  <c r="N166" i="8"/>
  <c r="N798" i="8" s="1"/>
  <c r="N167" i="8"/>
  <c r="N797" i="8" l="1"/>
  <c r="M197" i="16"/>
  <c r="M199" i="16" l="1"/>
  <c r="M198" i="16" l="1"/>
  <c r="M196" i="16"/>
  <c r="M195" i="16"/>
  <c r="M194" i="16"/>
  <c r="M193" i="16" l="1"/>
  <c r="M192" i="16"/>
  <c r="M191" i="16"/>
  <c r="M190" i="16"/>
  <c r="M189" i="16"/>
  <c r="M187" i="16" l="1"/>
  <c r="M186" i="16"/>
  <c r="M184" i="16"/>
  <c r="G802" i="8" l="1"/>
  <c r="F802" i="8"/>
  <c r="M183" i="16" l="1"/>
  <c r="M181" i="16" l="1"/>
  <c r="M180" i="16"/>
  <c r="G803" i="8" l="1"/>
  <c r="F803" i="8"/>
  <c r="M178" i="16" l="1"/>
  <c r="M175" i="16" l="1"/>
  <c r="M174" i="16"/>
  <c r="M177" i="16"/>
  <c r="M176" i="16"/>
  <c r="M173" i="16"/>
  <c r="M171" i="16"/>
  <c r="M167" i="16"/>
  <c r="M166" i="16"/>
  <c r="M165" i="16"/>
  <c r="M162" i="16" l="1"/>
  <c r="M161" i="16" l="1"/>
  <c r="M160" i="16"/>
  <c r="N164" i="8"/>
  <c r="G804" i="8"/>
  <c r="F804" i="8"/>
  <c r="M170" i="16" l="1"/>
  <c r="N162" i="8" l="1"/>
  <c r="N163" i="8"/>
  <c r="M159" i="16" l="1"/>
  <c r="M158" i="16" l="1"/>
  <c r="M150" i="16" l="1"/>
  <c r="M149" i="16"/>
  <c r="M148" i="16"/>
  <c r="M147" i="16"/>
  <c r="M146" i="16"/>
  <c r="M145" i="16"/>
  <c r="M144" i="16"/>
  <c r="M143" i="16"/>
  <c r="M236" i="16" s="1"/>
  <c r="M142" i="16"/>
  <c r="M141" i="16"/>
  <c r="M140" i="16"/>
  <c r="M139" i="16"/>
  <c r="M138" i="16"/>
  <c r="M137" i="16"/>
  <c r="M133" i="16"/>
  <c r="M132" i="16"/>
  <c r="M157" i="16"/>
  <c r="M152" i="16"/>
  <c r="M156" i="16"/>
  <c r="M151" i="16"/>
  <c r="M130" i="16"/>
  <c r="M129" i="16"/>
  <c r="M128" i="16"/>
  <c r="N155" i="8" l="1"/>
  <c r="N156" i="8"/>
  <c r="N157" i="8"/>
  <c r="N158" i="8"/>
  <c r="N160" i="8"/>
  <c r="N161" i="8"/>
  <c r="F805" i="8" l="1"/>
  <c r="G136" i="8" l="1"/>
  <c r="M135" i="16" s="1"/>
  <c r="G126" i="8"/>
  <c r="G805" i="8" l="1"/>
  <c r="M136" i="16"/>
  <c r="M131" i="16"/>
  <c r="N141" i="8"/>
  <c r="N142" i="8"/>
  <c r="N802" i="8" s="1"/>
  <c r="N143" i="8"/>
  <c r="N144" i="8"/>
  <c r="N145" i="8"/>
  <c r="N146" i="8"/>
  <c r="N147" i="8"/>
  <c r="N148" i="8"/>
  <c r="N149" i="8"/>
  <c r="N150" i="8"/>
  <c r="N151" i="8"/>
  <c r="N152" i="8"/>
  <c r="N153" i="8"/>
  <c r="N154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799" i="8" s="1"/>
  <c r="M27" i="16"/>
  <c r="N791" i="8" l="1"/>
  <c r="N800" i="8"/>
  <c r="N804" i="8"/>
  <c r="N107" i="8"/>
  <c r="N108" i="8"/>
  <c r="N109" i="8"/>
  <c r="N105" i="8" l="1"/>
  <c r="N805" i="8" s="1"/>
  <c r="N106" i="8"/>
  <c r="N801" i="8" s="1"/>
  <c r="G806" i="8" l="1"/>
  <c r="F806" i="8"/>
  <c r="M67" i="16" l="1"/>
  <c r="M42" i="16" l="1"/>
  <c r="F808" i="8" l="1"/>
  <c r="G808" i="8"/>
  <c r="M120" i="16" l="1"/>
  <c r="M114" i="16" l="1"/>
  <c r="M112" i="16"/>
  <c r="M110" i="16"/>
  <c r="M109" i="16"/>
  <c r="M108" i="16"/>
  <c r="M107" i="16"/>
  <c r="M105" i="16"/>
  <c r="M99" i="16"/>
  <c r="M98" i="16"/>
  <c r="M97" i="16"/>
  <c r="M94" i="16"/>
  <c r="M93" i="16"/>
  <c r="M92" i="16"/>
  <c r="M91" i="16"/>
  <c r="M90" i="16"/>
  <c r="M89" i="16"/>
  <c r="M87" i="16"/>
  <c r="M86" i="16"/>
  <c r="M85" i="16"/>
  <c r="M83" i="16"/>
  <c r="M82" i="16"/>
  <c r="M81" i="16"/>
  <c r="M80" i="16"/>
  <c r="M79" i="16"/>
  <c r="M78" i="16"/>
  <c r="M77" i="16"/>
  <c r="M76" i="16"/>
  <c r="M74" i="16"/>
  <c r="M71" i="16"/>
  <c r="M69" i="16"/>
  <c r="M68" i="16"/>
  <c r="M66" i="16"/>
  <c r="M65" i="16"/>
  <c r="M64" i="16"/>
  <c r="M61" i="16"/>
  <c r="M59" i="16"/>
  <c r="M58" i="16"/>
  <c r="M57" i="16"/>
  <c r="M56" i="16"/>
  <c r="M55" i="16"/>
  <c r="M54" i="16"/>
  <c r="M53" i="16"/>
  <c r="M52" i="16"/>
  <c r="M51" i="16"/>
  <c r="M50" i="16"/>
  <c r="M49" i="16"/>
  <c r="M48" i="16"/>
  <c r="M47" i="16"/>
  <c r="M46" i="16"/>
  <c r="M45" i="16"/>
  <c r="M44" i="16"/>
  <c r="M43" i="16"/>
  <c r="M41" i="16"/>
  <c r="M40" i="16"/>
  <c r="M39" i="16"/>
  <c r="M36" i="16"/>
  <c r="M35" i="16"/>
  <c r="M34" i="16"/>
  <c r="M33" i="16"/>
  <c r="M31" i="16"/>
  <c r="M30" i="16"/>
  <c r="M29" i="16"/>
  <c r="M28" i="16"/>
  <c r="M26" i="16"/>
  <c r="M25" i="16"/>
  <c r="M24" i="16"/>
  <c r="M23" i="16"/>
  <c r="M22" i="16"/>
  <c r="M21" i="16"/>
  <c r="M19" i="16"/>
  <c r="M18" i="16"/>
  <c r="M17" i="16"/>
  <c r="M16" i="16"/>
  <c r="M15" i="16"/>
  <c r="M14" i="16"/>
  <c r="M11" i="16"/>
  <c r="M10" i="16"/>
  <c r="M9" i="16"/>
  <c r="M8" i="16"/>
  <c r="M7" i="16"/>
  <c r="N104" i="8" l="1"/>
  <c r="F809" i="8" l="1"/>
  <c r="N89" i="8" l="1"/>
  <c r="F811" i="8"/>
  <c r="G811" i="8"/>
  <c r="G809" i="8"/>
  <c r="G810" i="8"/>
  <c r="F810" i="8"/>
  <c r="N95" i="8" l="1"/>
  <c r="N103" i="8" l="1"/>
  <c r="N99" i="8" l="1"/>
  <c r="N100" i="8"/>
  <c r="N101" i="8"/>
  <c r="N102" i="8"/>
  <c r="N98" i="8" l="1"/>
  <c r="N96" i="8" l="1"/>
  <c r="N97" i="8"/>
  <c r="N803" i="8" s="1"/>
  <c r="N91" i="8" l="1"/>
  <c r="N92" i="8"/>
  <c r="N93" i="8"/>
  <c r="N94" i="8"/>
  <c r="N90" i="8"/>
  <c r="N75" i="8" l="1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08" i="8" l="1"/>
  <c r="N65" i="8"/>
  <c r="N66" i="8"/>
  <c r="N67" i="8"/>
  <c r="N806" i="8" s="1"/>
  <c r="N68" i="8"/>
  <c r="N69" i="8"/>
  <c r="N70" i="8"/>
  <c r="N71" i="8"/>
  <c r="N72" i="8"/>
  <c r="N73" i="8"/>
  <c r="N74" i="8"/>
  <c r="N810" i="8" s="1"/>
  <c r="N64" i="8"/>
  <c r="G812" i="8" l="1"/>
  <c r="F812" i="8" l="1"/>
  <c r="N61" i="8" l="1"/>
  <c r="N62" i="8"/>
  <c r="N63" i="8"/>
  <c r="N60" i="8" l="1"/>
  <c r="E14" i="10" l="1"/>
  <c r="C6" i="12" l="1"/>
  <c r="C5" i="12"/>
  <c r="D6" i="12"/>
  <c r="E6" i="12"/>
  <c r="J56" i="8"/>
  <c r="N53" i="8"/>
  <c r="N54" i="8"/>
  <c r="N55" i="8"/>
  <c r="N56" i="8"/>
  <c r="N57" i="8"/>
  <c r="N58" i="8"/>
  <c r="N59" i="8"/>
  <c r="C16" i="14"/>
  <c r="N47" i="8"/>
  <c r="N48" i="8"/>
  <c r="N809" i="8" s="1"/>
  <c r="N49" i="8"/>
  <c r="N50" i="8"/>
  <c r="N51" i="8"/>
  <c r="N52" i="8"/>
  <c r="N46" i="8"/>
  <c r="C36" i="13" l="1"/>
  <c r="B36" i="13" l="1"/>
  <c r="C30" i="14"/>
  <c r="G813" i="8" l="1"/>
  <c r="F813" i="8" l="1"/>
  <c r="H6" i="13"/>
  <c r="N45" i="8"/>
  <c r="N42" i="8" l="1"/>
  <c r="N43" i="8"/>
  <c r="N44" i="8"/>
  <c r="N41" i="8"/>
  <c r="N811" i="8" l="1"/>
  <c r="N37" i="8"/>
  <c r="N812" i="8" s="1"/>
  <c r="N38" i="8"/>
  <c r="N40" i="8"/>
  <c r="N39" i="8"/>
  <c r="N35" i="8" l="1"/>
  <c r="E5" i="12"/>
  <c r="B5" i="12" s="1"/>
  <c r="N34" i="8"/>
  <c r="N36" i="8"/>
  <c r="A17" i="10" l="1"/>
  <c r="A18" i="10" s="1"/>
  <c r="A19" i="10" s="1"/>
  <c r="A20" i="10" s="1"/>
  <c r="A21" i="10" s="1"/>
  <c r="A22" i="10" s="1"/>
  <c r="E36" i="13"/>
  <c r="F36" i="13" l="1"/>
  <c r="C32" i="9"/>
  <c r="B32" i="9"/>
  <c r="N32" i="8"/>
  <c r="N31" i="8"/>
  <c r="N813" i="8" l="1"/>
  <c r="F2" i="4"/>
  <c r="C28" i="11" l="1"/>
  <c r="F814" i="8" l="1"/>
  <c r="L23" i="1" l="1"/>
  <c r="L22" i="1"/>
  <c r="H6" i="9" l="1"/>
  <c r="G814" i="8"/>
  <c r="N29" i="8"/>
  <c r="N33" i="8"/>
  <c r="N30" i="8"/>
  <c r="N28" i="8"/>
  <c r="D5" i="12" l="1"/>
  <c r="B15" i="4"/>
  <c r="L18" i="1"/>
  <c r="N25" i="8"/>
  <c r="B35" i="3"/>
  <c r="L8" i="1"/>
  <c r="N19" i="8"/>
  <c r="E32" i="9" l="1"/>
  <c r="F32" i="9" s="1"/>
  <c r="L20" i="1"/>
  <c r="N26" i="8"/>
  <c r="N814" i="8" s="1"/>
  <c r="G815" i="8" l="1"/>
  <c r="F815" i="8"/>
  <c r="F816" i="8"/>
  <c r="F820" i="8" s="1"/>
  <c r="G816" i="8"/>
  <c r="L13" i="1"/>
  <c r="C35" i="3"/>
  <c r="D17" i="7"/>
  <c r="D28" i="7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8" i="1"/>
  <c r="N27" i="8"/>
  <c r="N24" i="8"/>
  <c r="N23" i="8"/>
  <c r="N22" i="8"/>
  <c r="N21" i="8"/>
  <c r="N20" i="8"/>
  <c r="N18" i="8"/>
  <c r="N17" i="8"/>
  <c r="N16" i="8"/>
  <c r="N15" i="8"/>
  <c r="N14" i="8"/>
  <c r="N13" i="8"/>
  <c r="N12" i="8"/>
  <c r="N11" i="8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N10" i="8"/>
  <c r="G819" i="8" l="1"/>
  <c r="A101" i="8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N816" i="8"/>
  <c r="N815" i="8"/>
  <c r="N817" i="8" l="1"/>
  <c r="G820" i="8"/>
  <c r="G33" i="1"/>
  <c r="L21" i="1"/>
  <c r="L14" i="1" l="1"/>
  <c r="L7" i="1"/>
  <c r="E35" i="3" l="1"/>
  <c r="F35" i="3" s="1"/>
  <c r="L16" i="1"/>
  <c r="D16" i="3"/>
  <c r="D17" i="3" s="1"/>
  <c r="E8" i="3" l="1"/>
  <c r="F15" i="4"/>
  <c r="E15" i="4"/>
  <c r="C15" i="4"/>
  <c r="L15" i="1"/>
  <c r="C17" i="1"/>
  <c r="C18" i="1" s="1"/>
  <c r="C19" i="1" s="1"/>
  <c r="D15" i="4" l="1"/>
  <c r="F7" i="2"/>
  <c r="F8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L9" i="1"/>
  <c r="L10" i="1"/>
  <c r="L11" i="1"/>
  <c r="L12" i="1"/>
  <c r="F19" i="1"/>
  <c r="L19" i="1" s="1"/>
  <c r="F17" i="1"/>
  <c r="L17" i="1" s="1"/>
  <c r="J10" i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</calcChain>
</file>

<file path=xl/sharedStrings.xml><?xml version="1.0" encoding="utf-8"?>
<sst xmlns="http://schemas.openxmlformats.org/spreadsheetml/2006/main" count="9960" uniqueCount="5175">
  <si>
    <t>N°</t>
  </si>
  <si>
    <t>Marque</t>
  </si>
  <si>
    <t>Numéro de série</t>
  </si>
  <si>
    <t>Puissance</t>
  </si>
  <si>
    <t>Prix de vente</t>
  </si>
  <si>
    <t>Bénéfice</t>
  </si>
  <si>
    <t>A1F00985</t>
  </si>
  <si>
    <t>SE20BA-109586</t>
  </si>
  <si>
    <t>SR25AC-101287</t>
  </si>
  <si>
    <t>SR30BB-212575</t>
  </si>
  <si>
    <t>SE30BB-101531</t>
  </si>
  <si>
    <t>SR30BB-221769</t>
  </si>
  <si>
    <t>SR30BB-257336</t>
  </si>
  <si>
    <t>SR25BA-100287</t>
  </si>
  <si>
    <t>SR30BB-211527</t>
  </si>
  <si>
    <t>Etat</t>
  </si>
  <si>
    <t>100 cc</t>
  </si>
  <si>
    <t>VENDU</t>
  </si>
  <si>
    <t>YAMAHA C2 Type 2</t>
  </si>
  <si>
    <t>SE301000109</t>
  </si>
  <si>
    <t>SE251101098</t>
  </si>
  <si>
    <t>SE251100303</t>
  </si>
  <si>
    <t>E3B8E9388</t>
  </si>
  <si>
    <t>PRIX d'achat</t>
  </si>
  <si>
    <t>KYMCO G5 MEGAFI /12</t>
  </si>
  <si>
    <t>KYMCO RACING FI</t>
  </si>
  <si>
    <t>KYMCO MANY FI</t>
  </si>
  <si>
    <t>PGO Tigra FI</t>
  </si>
  <si>
    <t xml:space="preserve">KYMCO G5 </t>
  </si>
  <si>
    <t>Num vente</t>
  </si>
  <si>
    <t>Numéro Moto</t>
  </si>
  <si>
    <t>Date</t>
  </si>
  <si>
    <t>Reste</t>
  </si>
  <si>
    <t>Avance reservation</t>
  </si>
  <si>
    <t>Date de vente</t>
  </si>
  <si>
    <t>Date d'achat</t>
  </si>
  <si>
    <t>Reste avance</t>
  </si>
  <si>
    <t>TOTAL</t>
  </si>
  <si>
    <t xml:space="preserve"> DATA BASE "MOTOS" - SCOOT MASTER - </t>
  </si>
  <si>
    <t>Livraison</t>
  </si>
  <si>
    <t>OK</t>
  </si>
  <si>
    <t>Flux Entrée et Sortie CAISSE MASTER SCOOT</t>
  </si>
  <si>
    <t>Entrée</t>
  </si>
  <si>
    <t>Sortie</t>
  </si>
  <si>
    <t>PRIX "FMG"</t>
  </si>
  <si>
    <t>Caisse 22/04/2020</t>
  </si>
  <si>
    <t>SE301000131</t>
  </si>
  <si>
    <t>RESTE:</t>
  </si>
  <si>
    <t>&lt;= RESTE - Benefice</t>
  </si>
  <si>
    <t>N° CIN</t>
  </si>
  <si>
    <t>Nom</t>
  </si>
  <si>
    <t>Prenom</t>
  </si>
  <si>
    <t>Adresse</t>
  </si>
  <si>
    <t>Telephone</t>
  </si>
  <si>
    <t>RAHAJANIRAINY</t>
  </si>
  <si>
    <t>Taratra</t>
  </si>
  <si>
    <t>Lot 65 Bis Ambohibao</t>
  </si>
  <si>
    <t>RAKOTOARISOA</t>
  </si>
  <si>
    <t>Liva</t>
  </si>
  <si>
    <t>Lot A II 6 Ter Mandrosoa</t>
  </si>
  <si>
    <t>RANARISON</t>
  </si>
  <si>
    <t xml:space="preserve"> Tokiniaina Fanomezantsoa</t>
  </si>
  <si>
    <t>Lot I A H 110 B Avaratsena Itaosy</t>
  </si>
  <si>
    <t>RAKOTOMALALA</t>
  </si>
  <si>
    <t>Solofomandimby</t>
  </si>
  <si>
    <t>Lot III X 117 Bis Anosibe</t>
  </si>
  <si>
    <t>RAFALIMANANA</t>
  </si>
  <si>
    <t>Lanto Nambinintsosa</t>
  </si>
  <si>
    <t>Lot II 35 DGA Bis Ankadindramamy</t>
  </si>
  <si>
    <t>RAKOTOARINIVO</t>
  </si>
  <si>
    <t>Manitra Fitiavana</t>
  </si>
  <si>
    <t xml:space="preserve">Lot IVP 206 Ankadifotsy </t>
  </si>
  <si>
    <t>RAZAFINDRIANONY</t>
  </si>
  <si>
    <t>Jos Isèdore Fidèle</t>
  </si>
  <si>
    <t>II M 71 AB Androhibe</t>
  </si>
  <si>
    <t>RASOLONJATO</t>
  </si>
  <si>
    <t>Anditiana Julio</t>
  </si>
  <si>
    <t>Lot VM 53 C Androndrakely</t>
  </si>
  <si>
    <t>RAZAFINDRAKOTO</t>
  </si>
  <si>
    <t>Rivoniaina Eli</t>
  </si>
  <si>
    <t>II H 26 FH Bis Nanisana</t>
  </si>
  <si>
    <t>Téléphone</t>
  </si>
  <si>
    <t>Commande</t>
  </si>
  <si>
    <t>Alain</t>
  </si>
  <si>
    <t>G5</t>
  </si>
  <si>
    <t>Racing</t>
  </si>
  <si>
    <t>LISTE PROSPECTs SCOOT MASTER</t>
  </si>
  <si>
    <t>KYMCO G5</t>
  </si>
  <si>
    <t>Numéro de serie</t>
  </si>
  <si>
    <t>KYMCO G5 /10</t>
  </si>
  <si>
    <t>SE251000102</t>
  </si>
  <si>
    <t>Chiffre d'affaire =&gt;</t>
  </si>
  <si>
    <t>RAKOTONINDRINA</t>
  </si>
  <si>
    <t>Elysée</t>
  </si>
  <si>
    <t>IPA 290 Itaosy</t>
  </si>
  <si>
    <t>Racing et G5</t>
  </si>
  <si>
    <t>RAKOTONANAHARY</t>
  </si>
  <si>
    <t>Tolotriniaina</t>
  </si>
  <si>
    <t>II J 91 FMN Ivandry</t>
  </si>
  <si>
    <t xml:space="preserve">Investissement de base : </t>
  </si>
  <si>
    <t>136 000 000 Fmg</t>
  </si>
  <si>
    <t>RAKOTOARISON</t>
  </si>
  <si>
    <t xml:space="preserve">Andry Mihaja </t>
  </si>
  <si>
    <t>Lot IVP 120 Ankadifotsy</t>
  </si>
  <si>
    <t xml:space="preserve">ANDRIAMITANTSOSA </t>
  </si>
  <si>
    <t>Miora Patrick</t>
  </si>
  <si>
    <t>Lot II B 84 Mahalavolona</t>
  </si>
  <si>
    <t>Moum</t>
  </si>
  <si>
    <t>Serasera</t>
  </si>
  <si>
    <t>Mr</t>
  </si>
  <si>
    <t>Patrick</t>
  </si>
  <si>
    <t>RANDRIANARIVELO</t>
  </si>
  <si>
    <t>Faly Luca</t>
  </si>
  <si>
    <t>Lot III 025 C Mananjara</t>
  </si>
  <si>
    <t>Total Moto I.V t@1°</t>
  </si>
  <si>
    <t>SR30ED-118212</t>
  </si>
  <si>
    <t>SR30BB-204936</t>
  </si>
  <si>
    <t xml:space="preserve">Date </t>
  </si>
  <si>
    <t xml:space="preserve">Désignation </t>
  </si>
  <si>
    <t>Prix</t>
  </si>
  <si>
    <t>Achat motos (G5 : 04, Cygnus : 01)</t>
  </si>
  <si>
    <t xml:space="preserve">Impression Facture </t>
  </si>
  <si>
    <t>Achat moto G5 / 10</t>
  </si>
  <si>
    <t>PRIX en FMG</t>
  </si>
  <si>
    <t>Vazah mecanicien</t>
  </si>
  <si>
    <t>Achat G5 Megafi 150</t>
  </si>
  <si>
    <t xml:space="preserve">Achat RACING FI 150 </t>
  </si>
  <si>
    <t>Impression, Essence, Charge batterie</t>
  </si>
  <si>
    <t xml:space="preserve">Clé G5 </t>
  </si>
  <si>
    <t>Cache bat commande</t>
  </si>
  <si>
    <t>Aina mecanicien (02 motos)</t>
  </si>
  <si>
    <t>Caisse 24/04/2020</t>
  </si>
  <si>
    <t>Caisse 25/04/2020</t>
  </si>
  <si>
    <t>Toerana fanaovana lavage et toutes sujétions</t>
  </si>
  <si>
    <t>Moto</t>
  </si>
  <si>
    <t>Date départ</t>
  </si>
  <si>
    <t>Prix d'achat</t>
  </si>
  <si>
    <t>Prix echange</t>
  </si>
  <si>
    <t>Benefice</t>
  </si>
  <si>
    <t>Racing 150 fi orange</t>
  </si>
  <si>
    <t>PRIX MOTO ECHANGE</t>
  </si>
  <si>
    <t xml:space="preserve">RACING 150 FI </t>
  </si>
  <si>
    <t>RACING 125 FI</t>
  </si>
  <si>
    <t>KYMCO MANY</t>
  </si>
  <si>
    <t>pgo TIGRA blanc</t>
  </si>
  <si>
    <t>KYMCO G5 /12 150</t>
  </si>
  <si>
    <t>KYMCO G5 /12 125</t>
  </si>
  <si>
    <t>C2 Type 2</t>
  </si>
  <si>
    <t>KYMCO G5 MEGAFI noir</t>
  </si>
  <si>
    <t>KYMCO G5 MEGAFI gris</t>
  </si>
  <si>
    <t>KYMCO G5 /10 125</t>
  </si>
  <si>
    <t>Mecanicien C2 et Racing</t>
  </si>
  <si>
    <t>Semaine 2</t>
  </si>
  <si>
    <t>Semaine 1</t>
  </si>
  <si>
    <t>AIF-06472</t>
  </si>
  <si>
    <t>SR30BB-104952</t>
  </si>
  <si>
    <t>SR30BB-214467</t>
  </si>
  <si>
    <t>AIF-00985</t>
  </si>
  <si>
    <t>RACING 150 FI ORANGE</t>
  </si>
  <si>
    <t>semaine 1</t>
  </si>
  <si>
    <t>semaine 2</t>
  </si>
  <si>
    <t>SEMAINE</t>
  </si>
  <si>
    <t>Semaine 3</t>
  </si>
  <si>
    <t>semaine 3</t>
  </si>
  <si>
    <t>Flux Entrée et Sortie CAISSE MASTER SCOOT - S03</t>
  </si>
  <si>
    <t>Caisse fin S02</t>
  </si>
  <si>
    <t>Prix C2 Type 2</t>
  </si>
  <si>
    <t>Prix Many</t>
  </si>
  <si>
    <t>Bénéfice S03 :</t>
  </si>
  <si>
    <t>Désignation</t>
  </si>
  <si>
    <t>Avance</t>
  </si>
  <si>
    <t>fasika et gravillon (Michel)</t>
  </si>
  <si>
    <t>ANDRIAMANANTENA</t>
  </si>
  <si>
    <t>Fifaliana</t>
  </si>
  <si>
    <t>II B 170 Bis K Manjakaray</t>
  </si>
  <si>
    <t>DETAIL SORTIE S02</t>
  </si>
  <si>
    <t>Prix G5 /12 125</t>
  </si>
  <si>
    <t>LISTE VENTES MOTOS S02 et S03</t>
  </si>
  <si>
    <t>RAKOTOVAO</t>
  </si>
  <si>
    <t>Nirina José</t>
  </si>
  <si>
    <t>II E 47 G Ampanotokana</t>
  </si>
  <si>
    <t>achat motos Rajou</t>
  </si>
  <si>
    <t>LISTE DES ACHATS : "MOTOS"</t>
  </si>
  <si>
    <t>Numéro achat</t>
  </si>
  <si>
    <t xml:space="preserve">Prix </t>
  </si>
  <si>
    <t>Prix FMG</t>
  </si>
  <si>
    <t>TOTAL GENERAL</t>
  </si>
  <si>
    <t>Fasika et gravillon (station de lavage)</t>
  </si>
  <si>
    <t>PRIX "fmg"</t>
  </si>
  <si>
    <t>Prix "FMG"</t>
  </si>
  <si>
    <t xml:space="preserve">Essence </t>
  </si>
  <si>
    <t>Essence mecanicien</t>
  </si>
  <si>
    <t xml:space="preserve">KYMCO GP </t>
  </si>
  <si>
    <t>Mécanicien (04 GP)</t>
  </si>
  <si>
    <t>SD25-5501097</t>
  </si>
  <si>
    <t>SD25-5501266</t>
  </si>
  <si>
    <t>SD25-5500679</t>
  </si>
  <si>
    <t>SD25-5500578</t>
  </si>
  <si>
    <t xml:space="preserve">TG =  </t>
  </si>
  <si>
    <t>Poignet Kitako</t>
  </si>
  <si>
    <t>PIECES</t>
  </si>
  <si>
    <t>Prix unitaire</t>
  </si>
  <si>
    <t>Nombre vendu</t>
  </si>
  <si>
    <t>Total</t>
  </si>
  <si>
    <t>Nombre en stock</t>
  </si>
  <si>
    <t>Prix G5 Megafi gris</t>
  </si>
  <si>
    <t>RANDRIANARISON</t>
  </si>
  <si>
    <t>Andre</t>
  </si>
  <si>
    <t>K7 333 Mamory Ivato</t>
  </si>
  <si>
    <t>Prix Kymco Gp n°21</t>
  </si>
  <si>
    <t>Prix Kymco Gp n°24</t>
  </si>
  <si>
    <t>Prix RACING 150 Fi N°20</t>
  </si>
  <si>
    <t>Essence</t>
  </si>
  <si>
    <t>SR25AA-200597</t>
  </si>
  <si>
    <t>KYMCO GP FI</t>
  </si>
  <si>
    <t>KYMCO GP Carb</t>
  </si>
  <si>
    <t>SJ25KA-115857</t>
  </si>
  <si>
    <t>SJ25EC-105365</t>
  </si>
  <si>
    <t>SD25UA-200597</t>
  </si>
  <si>
    <t>Liste dépenses S03</t>
  </si>
  <si>
    <t>Kevin (diluant, degripant, fil,essence…)</t>
  </si>
  <si>
    <t>Huile moteur</t>
  </si>
  <si>
    <t>KYMCO G5 MEGAFI GRIS</t>
  </si>
  <si>
    <t>RACING 150 FI</t>
  </si>
  <si>
    <t>KYMCO GP</t>
  </si>
  <si>
    <t>Bobine</t>
  </si>
  <si>
    <t>Clé douille</t>
  </si>
  <si>
    <t>Fer à souder</t>
  </si>
  <si>
    <t>Tamis</t>
  </si>
  <si>
    <t>Chaînes</t>
  </si>
  <si>
    <t>Roulement + Presse arbre a cam</t>
  </si>
  <si>
    <t>Fil</t>
  </si>
  <si>
    <t>Barnader</t>
  </si>
  <si>
    <t>Coche plate</t>
  </si>
  <si>
    <t>Achats (bobine, clé,…)</t>
  </si>
  <si>
    <t>Huile 15-40 *2 (kevin)</t>
  </si>
  <si>
    <t>Bendix, soudure, chaines,…</t>
  </si>
  <si>
    <t>Chaînes, soudure tablô, bendix</t>
  </si>
  <si>
    <t>Clés GP</t>
  </si>
  <si>
    <t>Mecanicien 3 Gp(FI Et Carb) - 1 G5</t>
  </si>
  <si>
    <t>Mecanicien</t>
  </si>
  <si>
    <t>Petrole</t>
  </si>
  <si>
    <t>Avance achat motos</t>
  </si>
  <si>
    <t xml:space="preserve">Semaine 4 </t>
  </si>
  <si>
    <t>Flux Entrée et Sortie CAISSE MASTER SCOOT - S04</t>
  </si>
  <si>
    <t>Bénéfice S04 :</t>
  </si>
  <si>
    <t>Caisse fin S03</t>
  </si>
  <si>
    <t xml:space="preserve">Prix GP </t>
  </si>
  <si>
    <t>Achat motos Rajou</t>
  </si>
  <si>
    <t>Liste dépenses S04</t>
  </si>
  <si>
    <t>avance</t>
  </si>
  <si>
    <t>RAMIANDRISOA</t>
  </si>
  <si>
    <t>Mioraniaina</t>
  </si>
  <si>
    <t>Avaratsena Ambohimasoa</t>
  </si>
  <si>
    <t>RASOAMANAHIRANA</t>
  </si>
  <si>
    <t>Marie Louisette</t>
  </si>
  <si>
    <t>AZ  QZ KI/D Antandrokomby</t>
  </si>
  <si>
    <t>Benef av @ Retro (couvre depense)</t>
  </si>
  <si>
    <t>Arbre a cam gp</t>
  </si>
  <si>
    <t>Prix GP n°27</t>
  </si>
  <si>
    <t>Prix G5 N°25</t>
  </si>
  <si>
    <t>Arbre a cam</t>
  </si>
  <si>
    <t>Tiriac Rivoaritrema</t>
  </si>
  <si>
    <t>Lot IV3 103 Andravoahangy</t>
  </si>
  <si>
    <t>SD25UA-121122</t>
  </si>
  <si>
    <t>SD25UA-227460</t>
  </si>
  <si>
    <t>SD25UA-120812</t>
  </si>
  <si>
    <t>Prix GP n°26</t>
  </si>
  <si>
    <t>Toky</t>
  </si>
  <si>
    <t>Lot B I 40 Ter amboaroy</t>
  </si>
  <si>
    <t>Reste achat motos</t>
  </si>
  <si>
    <t>Kymco G5 MEGAFI</t>
  </si>
  <si>
    <t xml:space="preserve">PGO TIGRA </t>
  </si>
  <si>
    <t>SR30ED-107180</t>
  </si>
  <si>
    <t>A1F02475</t>
  </si>
  <si>
    <t>SE25AA-109851</t>
  </si>
  <si>
    <t>SE25AA-115993</t>
  </si>
  <si>
    <t>Prix GP n°29</t>
  </si>
  <si>
    <t>Prix GP n°30</t>
  </si>
  <si>
    <t>Prix GP n°31</t>
  </si>
  <si>
    <t>ANDRIAMOSA</t>
  </si>
  <si>
    <t>Mamy Ny Aina</t>
  </si>
  <si>
    <t>Lot II AB 35 Andrononobe</t>
  </si>
  <si>
    <t>Tinaharivelo Ainavatosoa</t>
  </si>
  <si>
    <t>Mahazoarivo</t>
  </si>
  <si>
    <t>essence</t>
  </si>
  <si>
    <t>Livraison Faniry</t>
  </si>
  <si>
    <t>essences, cable, mecano</t>
  </si>
  <si>
    <t>essence reparation</t>
  </si>
  <si>
    <t>cable accelerateur + essence GP</t>
  </si>
  <si>
    <t>livrasion Faniry</t>
  </si>
  <si>
    <t>RANDRIAFENOMANANA</t>
  </si>
  <si>
    <t xml:space="preserve">Herison Olivier </t>
  </si>
  <si>
    <t>III A 38 Andafiatsimo Tanjombato</t>
  </si>
  <si>
    <t/>
  </si>
  <si>
    <t>Prix G5 N°35</t>
  </si>
  <si>
    <t>Avance motos</t>
  </si>
  <si>
    <t>SR25EA-118963</t>
  </si>
  <si>
    <t>Avance motos ihany</t>
  </si>
  <si>
    <t>Gazoil</t>
  </si>
  <si>
    <t>Gasoil</t>
  </si>
  <si>
    <t>Avance Sera Occas pour arrivage</t>
  </si>
  <si>
    <t>Kevin-Steph Andravoahangy</t>
  </si>
  <si>
    <t>SE30AH-101313</t>
  </si>
  <si>
    <t>RESERVATION</t>
  </si>
  <si>
    <t>KYMCO RACING 150 FI</t>
  </si>
  <si>
    <t>SR30BB-218936</t>
  </si>
  <si>
    <t>SR30BB-267621</t>
  </si>
  <si>
    <t>SR30BB-257671</t>
  </si>
  <si>
    <t>KYMCO G5 MEGAFI</t>
  </si>
  <si>
    <t>SR30BB-201638</t>
  </si>
  <si>
    <t>SR30ED-106165</t>
  </si>
  <si>
    <t>SR30BB-304728</t>
  </si>
  <si>
    <t>SR30BB-104340</t>
  </si>
  <si>
    <t>SR30ED-112920</t>
  </si>
  <si>
    <t>SE30AB-100689</t>
  </si>
  <si>
    <t>SR30BB-248665</t>
  </si>
  <si>
    <t>SR30BB-257356</t>
  </si>
  <si>
    <t>Semaine 5</t>
  </si>
  <si>
    <t xml:space="preserve">Mr </t>
  </si>
  <si>
    <t>Fidy</t>
  </si>
  <si>
    <t>10 Racing arrivage(15 M)</t>
  </si>
  <si>
    <t>Tantely</t>
  </si>
  <si>
    <t>/0342052272</t>
  </si>
  <si>
    <t>/0337386317</t>
  </si>
  <si>
    <t>/0346052185</t>
  </si>
  <si>
    <t>/0340124068</t>
  </si>
  <si>
    <t>/0338374631</t>
  </si>
  <si>
    <t>/0346889613</t>
  </si>
  <si>
    <t>/0345208869/0345117622</t>
  </si>
  <si>
    <t>Racing KCC 150</t>
  </si>
  <si>
    <t>/0346111251</t>
  </si>
  <si>
    <t>/0344148620</t>
  </si>
  <si>
    <t>/0337036054</t>
  </si>
  <si>
    <t>/0341701151</t>
  </si>
  <si>
    <t>/0344371401</t>
  </si>
  <si>
    <t>/0345704276</t>
  </si>
  <si>
    <t>/0341452866</t>
  </si>
  <si>
    <t>/0343757829</t>
  </si>
  <si>
    <t>/0343161321</t>
  </si>
  <si>
    <t>/0345225792</t>
  </si>
  <si>
    <t>/0341687027</t>
  </si>
  <si>
    <t>/0349291116</t>
  </si>
  <si>
    <t>/0346603090</t>
  </si>
  <si>
    <t>/0342944143</t>
  </si>
  <si>
    <t>/0348119049</t>
  </si>
  <si>
    <t>/0348332300</t>
  </si>
  <si>
    <t>/0346035817</t>
  </si>
  <si>
    <t>/0332185447/0346052185</t>
  </si>
  <si>
    <t>Batterie</t>
  </si>
  <si>
    <t>Second Investisement :</t>
  </si>
  <si>
    <t>150 000 000 Fmg</t>
  </si>
  <si>
    <t>TOTAL :</t>
  </si>
  <si>
    <t>286 000 000 Fmg</t>
  </si>
  <si>
    <t>SE30BB-104272</t>
  </si>
  <si>
    <t>Chaines 250 000</t>
  </si>
  <si>
    <t>Cadenas 47500</t>
  </si>
  <si>
    <t>attache :10000</t>
  </si>
  <si>
    <t>fil:60000</t>
  </si>
  <si>
    <t>Papier collant: 15000</t>
  </si>
  <si>
    <t>Gel sy impec : 62500</t>
  </si>
  <si>
    <t>yaourt sy coca : 10000</t>
  </si>
  <si>
    <t>::</t>
  </si>
  <si>
    <t>SR30ED-100531</t>
  </si>
  <si>
    <t>Semaine 6</t>
  </si>
  <si>
    <t>SR30BB-246158</t>
  </si>
  <si>
    <t>SR30BB-261740</t>
  </si>
  <si>
    <t>SR30BB-225860</t>
  </si>
  <si>
    <t>SE25AA-142562</t>
  </si>
  <si>
    <t>SE25AA-145785</t>
  </si>
  <si>
    <t>SE25AA-144469</t>
  </si>
  <si>
    <t>SE25AA-103273</t>
  </si>
  <si>
    <t>SE25AA-106832</t>
  </si>
  <si>
    <t>SE25AA-139149</t>
  </si>
  <si>
    <t>SE25AA-105738</t>
  </si>
  <si>
    <t>SE25AA-130843</t>
  </si>
  <si>
    <t>SE25AA-114786</t>
  </si>
  <si>
    <t>SE25AB-103512</t>
  </si>
  <si>
    <t>SE25AB-102375</t>
  </si>
  <si>
    <t>none</t>
  </si>
  <si>
    <t>EN STOCK</t>
  </si>
  <si>
    <t>Stephan Liva</t>
  </si>
  <si>
    <t>IAH 110 B Avaratsena Itaosy</t>
  </si>
  <si>
    <t>/0324100995</t>
  </si>
  <si>
    <t>RAVELONIRINA AH WENG</t>
  </si>
  <si>
    <t>Francis Mathieu</t>
  </si>
  <si>
    <t>/0340501011</t>
  </si>
  <si>
    <t xml:space="preserve">RASOAMIARAMANANA </t>
  </si>
  <si>
    <t>Soloheritiana Thierry</t>
  </si>
  <si>
    <t>Lot AD 42 Ankadindravola IVATO</t>
  </si>
  <si>
    <t>/0344747156</t>
  </si>
  <si>
    <t xml:space="preserve">LEROY </t>
  </si>
  <si>
    <t>Emile</t>
  </si>
  <si>
    <t>Mahajanga</t>
  </si>
  <si>
    <t>RANDRIATAHINA</t>
  </si>
  <si>
    <t>Jean de Dieu</t>
  </si>
  <si>
    <t>Marovato FKT Vatosotry</t>
  </si>
  <si>
    <t>/0343365595</t>
  </si>
  <si>
    <t>ANDRIANTAHINANAHARY</t>
  </si>
  <si>
    <t>Roland le Glorieux</t>
  </si>
  <si>
    <t>Lot AZ 24T Anosizato</t>
  </si>
  <si>
    <t>/0346028301</t>
  </si>
  <si>
    <t>ROBEL</t>
  </si>
  <si>
    <t>Mamy André</t>
  </si>
  <si>
    <t>lot 106 TER 1/K5 Ivato</t>
  </si>
  <si>
    <t>/0331959473</t>
  </si>
  <si>
    <t>RAFANOMEZANTSOA</t>
  </si>
  <si>
    <t>Nirina Jocelyn</t>
  </si>
  <si>
    <t>Lot VIA 17 Ter Antanambao II</t>
  </si>
  <si>
    <t>/0338302651</t>
  </si>
  <si>
    <t>RANDRIAMIALISON</t>
  </si>
  <si>
    <t>Rakoto Andrianjatovo</t>
  </si>
  <si>
    <t>Lot ITR 51 Ambohikely Itaosy</t>
  </si>
  <si>
    <t>/0346740155</t>
  </si>
  <si>
    <t xml:space="preserve">RASOARIMANANA </t>
  </si>
  <si>
    <t>Vololontsoa</t>
  </si>
  <si>
    <t>Lot II E 66 E DB Ter Ampanotokana</t>
  </si>
  <si>
    <t>/0345173416</t>
  </si>
  <si>
    <t>RAKOTONDRINA</t>
  </si>
  <si>
    <t>Toky Kevin</t>
  </si>
  <si>
    <t>Lot IB 621 Andohoranofotsy</t>
  </si>
  <si>
    <t>/0341706983</t>
  </si>
  <si>
    <t xml:space="preserve">RAZAFIMAHATRATRA </t>
  </si>
  <si>
    <t>Andrianirina Gino</t>
  </si>
  <si>
    <t>Lot 1884 Bis 67Ha Nord-Est</t>
  </si>
  <si>
    <t>/0342894075</t>
  </si>
  <si>
    <t>RAZANAKOLONA</t>
  </si>
  <si>
    <t>Ndretsa</t>
  </si>
  <si>
    <t>Lot IA 44 Atsimo Analakely</t>
  </si>
  <si>
    <t>/0340529500</t>
  </si>
  <si>
    <t>BEANJARA</t>
  </si>
  <si>
    <t>Gildas Alexis</t>
  </si>
  <si>
    <t>Lot VS 64 L Ambolokandrina Tana101</t>
  </si>
  <si>
    <t>/0320417896</t>
  </si>
  <si>
    <t xml:space="preserve">KYMCO RACING </t>
  </si>
  <si>
    <t>KYMCO RACING</t>
  </si>
  <si>
    <t>YAMAHA RS ZERO</t>
  </si>
  <si>
    <t>SE30AH-100707</t>
  </si>
  <si>
    <t>SE25AA-113971</t>
  </si>
  <si>
    <t>SE25AA-115399</t>
  </si>
  <si>
    <t>SR30FA-124720</t>
  </si>
  <si>
    <t>SR30BB-203795</t>
  </si>
  <si>
    <t>SR30BB-100526</t>
  </si>
  <si>
    <t>SR30BB-205222</t>
  </si>
  <si>
    <t>SR30BB-209655</t>
  </si>
  <si>
    <t>SR30BB-267408</t>
  </si>
  <si>
    <t>SR30BB-237591</t>
  </si>
  <si>
    <t>SR30BB-213258</t>
  </si>
  <si>
    <t>SE25AA-118048</t>
  </si>
  <si>
    <t>E3B9E-654947</t>
  </si>
  <si>
    <t>TSINOLAVINA</t>
  </si>
  <si>
    <t>Tiana Jacky Familie Léon</t>
  </si>
  <si>
    <t>Lot BA 32 Betsizaraina</t>
  </si>
  <si>
    <t>/0341586201</t>
  </si>
  <si>
    <t>Semaine 7</t>
  </si>
  <si>
    <t>SR30BB-103815</t>
  </si>
  <si>
    <t>SR30BB-262065</t>
  </si>
  <si>
    <t>SR30BB-243260</t>
  </si>
  <si>
    <t>SE30BB-104536</t>
  </si>
  <si>
    <t>SR30BB-248803</t>
  </si>
  <si>
    <t>SR30BB-224551</t>
  </si>
  <si>
    <t>RAJAONARMANANA</t>
  </si>
  <si>
    <t>Fenosoa</t>
  </si>
  <si>
    <t>Lot AZ 57 KI A Anandrokomby</t>
  </si>
  <si>
    <t>/034 31 302 33</t>
  </si>
  <si>
    <t>RAMANOELINA</t>
  </si>
  <si>
    <t>Mamiarivony</t>
  </si>
  <si>
    <t>III X 152 RA Anosibe</t>
  </si>
  <si>
    <t>/0330271140</t>
  </si>
  <si>
    <t>RAVONJINRINA</t>
  </si>
  <si>
    <t>Mahazo</t>
  </si>
  <si>
    <t>/0341790050</t>
  </si>
  <si>
    <t>MIARINTSAHALA</t>
  </si>
  <si>
    <t>Faniry</t>
  </si>
  <si>
    <t>Lot I V I 7 Andravoahangy Tsena</t>
  </si>
  <si>
    <t>/0341619700</t>
  </si>
  <si>
    <t>ANDRIANJAKAMANANA</t>
  </si>
  <si>
    <t>solonaina Mialy</t>
  </si>
  <si>
    <t>Lot II A 14 XI Amboditsiry</t>
  </si>
  <si>
    <t>/0341941026</t>
  </si>
  <si>
    <t>ANDRIAMARANTSOA</t>
  </si>
  <si>
    <t>Rambeloson Lovanirina</t>
  </si>
  <si>
    <t>Lot I A 92 A Anjanahary</t>
  </si>
  <si>
    <t>/0331115404</t>
  </si>
  <si>
    <t xml:space="preserve">RANDRIANANTENAINA </t>
  </si>
  <si>
    <t>Jean Patrice</t>
  </si>
  <si>
    <t>Lot II 0120 L Anjanahary</t>
  </si>
  <si>
    <t>/0346141717</t>
  </si>
  <si>
    <t>RABARIJAONA</t>
  </si>
  <si>
    <t>Mahazovalimbavaka Trifilis</t>
  </si>
  <si>
    <t>Lot 13 A 21 Est Vinany</t>
  </si>
  <si>
    <t>/0342998719</t>
  </si>
  <si>
    <t>Valimbavaka</t>
  </si>
  <si>
    <t>/034 29 987 19</t>
  </si>
  <si>
    <t>GP</t>
  </si>
  <si>
    <t>Lalaina</t>
  </si>
  <si>
    <t>Lot B 97 Sab Nam</t>
  </si>
  <si>
    <t>/0331617474</t>
  </si>
  <si>
    <t>Ando</t>
  </si>
  <si>
    <t>/0341420019</t>
  </si>
  <si>
    <t>G5 125cc carbu par 12</t>
  </si>
  <si>
    <t>a appeler demain</t>
  </si>
  <si>
    <t>VIDOT FETRA</t>
  </si>
  <si>
    <t>Lionel</t>
  </si>
  <si>
    <t>Lot 59/10 Talatamaty</t>
  </si>
  <si>
    <t>/0340700572</t>
  </si>
  <si>
    <t>Dylan</t>
  </si>
  <si>
    <t>/0320545950</t>
  </si>
  <si>
    <t>G5 150 ou racing 150 carbu</t>
  </si>
  <si>
    <t xml:space="preserve">ANDRIAMAHERISOA </t>
  </si>
  <si>
    <t>Heriniaina Patrick</t>
  </si>
  <si>
    <t>Lot H 29 Miadana</t>
  </si>
  <si>
    <t>/0348860332</t>
  </si>
  <si>
    <t>RAMAROSANDRATANA</t>
  </si>
  <si>
    <t>Olivier Mamy</t>
  </si>
  <si>
    <t>Lot FAK-49 Ambohimijery</t>
  </si>
  <si>
    <t>/0340257106</t>
  </si>
  <si>
    <t>E3B8E-338603</t>
  </si>
  <si>
    <t>E3B8E-410407</t>
  </si>
  <si>
    <t>Semaine 8</t>
  </si>
  <si>
    <t>YAMAHA CYGNUS 2</t>
  </si>
  <si>
    <t>E3B8E-413641</t>
  </si>
  <si>
    <t>RAKOTONDRANAIVO</t>
  </si>
  <si>
    <t>Manantany Richard</t>
  </si>
  <si>
    <t>Lot AE 113 ter Atsinanan-tsena Sab-Nam</t>
  </si>
  <si>
    <t>/0344896912</t>
  </si>
  <si>
    <t>Tojo</t>
  </si>
  <si>
    <t>/0345610957</t>
  </si>
  <si>
    <t xml:space="preserve">Racing 150 </t>
  </si>
  <si>
    <t>*A appeler avant arrivage</t>
  </si>
  <si>
    <t>SE30AA-102881</t>
  </si>
  <si>
    <t>CHRISTIAN</t>
  </si>
  <si>
    <t>/0342215421</t>
  </si>
  <si>
    <t>SD25UC-102432</t>
  </si>
  <si>
    <t>SR25EA-100512</t>
  </si>
  <si>
    <t>SR30ED-106540</t>
  </si>
  <si>
    <t>SE25AC-101946</t>
  </si>
  <si>
    <t>SE25AA-127032</t>
  </si>
  <si>
    <t>SE25AA-145313</t>
  </si>
  <si>
    <t>RAVELOJAONA</t>
  </si>
  <si>
    <t>Ange Nathalie Claudia</t>
  </si>
  <si>
    <t>Lot 212 Bis Tanjombato</t>
  </si>
  <si>
    <t>/0342949360</t>
  </si>
  <si>
    <t>Semaine 9</t>
  </si>
  <si>
    <t>NOMENJANAHARY</t>
  </si>
  <si>
    <t>Vony Niaina Tanjona</t>
  </si>
  <si>
    <t>Lot FA III Antalata</t>
  </si>
  <si>
    <t>/0341885830</t>
  </si>
  <si>
    <t>Tax</t>
  </si>
  <si>
    <t>Patron be</t>
  </si>
  <si>
    <t>/0324457915</t>
  </si>
  <si>
    <t>G6</t>
  </si>
  <si>
    <t>RAHERINIRAINY</t>
  </si>
  <si>
    <t>Dimby Arimalala Gildas</t>
  </si>
  <si>
    <t>Lot ivY 244 Bis Ilanivato Ampasika</t>
  </si>
  <si>
    <t>/0341141474</t>
  </si>
  <si>
    <t>Tahiriniana</t>
  </si>
  <si>
    <t>/0345937305</t>
  </si>
  <si>
    <t>José</t>
  </si>
  <si>
    <t>/0340233207</t>
  </si>
  <si>
    <t>G5 150</t>
  </si>
  <si>
    <t>HARIMALALA</t>
  </si>
  <si>
    <t>Luciamie Myriamah</t>
  </si>
  <si>
    <t>Tanambe Fort dauphin</t>
  </si>
  <si>
    <t>/0328705413</t>
  </si>
  <si>
    <t>RANDRIAMANANTOANINA</t>
  </si>
  <si>
    <t>Tojo Harilala Arsène</t>
  </si>
  <si>
    <t>Lot G III 15 SOAMANANDRARINY</t>
  </si>
  <si>
    <t xml:space="preserve">Kymco G5 150 fi </t>
  </si>
  <si>
    <t>SR30AC-101130</t>
  </si>
  <si>
    <t>KYMCO G5 150 fi/12</t>
  </si>
  <si>
    <t>ANDRIAMIHARISOANDRAIBE</t>
  </si>
  <si>
    <t>Lot II H 27 Ter G Soavimasoandro</t>
  </si>
  <si>
    <t>ANDRIAMAROSATA RALIBERA</t>
  </si>
  <si>
    <t>Ifaneva</t>
  </si>
  <si>
    <t>/0337595419</t>
  </si>
  <si>
    <t>Semaine 10</t>
  </si>
  <si>
    <t>SR30BB-205443</t>
  </si>
  <si>
    <t>Numéros</t>
  </si>
  <si>
    <t>Numéro facture/BL</t>
  </si>
  <si>
    <t>Date de l'achat</t>
  </si>
  <si>
    <t>Marque moto</t>
  </si>
  <si>
    <t>N° Moteur</t>
  </si>
  <si>
    <t>Montant en Ar</t>
  </si>
  <si>
    <t>/0340013065</t>
  </si>
  <si>
    <t>PGO Tigra</t>
  </si>
  <si>
    <t>-</t>
  </si>
  <si>
    <t>Kymco Racing fi</t>
  </si>
  <si>
    <t>kymco G5 megafi</t>
  </si>
  <si>
    <t>RAKOTONIAINA</t>
  </si>
  <si>
    <t>Julien</t>
  </si>
  <si>
    <t>Lot III T I9 Bis Mandrangobato</t>
  </si>
  <si>
    <t>/0346057249</t>
  </si>
  <si>
    <t>RAOELISON</t>
  </si>
  <si>
    <t>Mahery Tina</t>
  </si>
  <si>
    <t>Lot IAV 312 C Iavoloha</t>
  </si>
  <si>
    <t>/0341090783</t>
  </si>
  <si>
    <t>Kymco GP</t>
  </si>
  <si>
    <t>SD244C-302515</t>
  </si>
  <si>
    <t>RAZAFITSALAMA</t>
  </si>
  <si>
    <t>Nomentsoa Toavina</t>
  </si>
  <si>
    <t>Lot IV Y 56 JM Ter Anosipatrana</t>
  </si>
  <si>
    <t>/0345813833</t>
  </si>
  <si>
    <t>RAZAFARISON</t>
  </si>
  <si>
    <t>Tiana Mickäel</t>
  </si>
  <si>
    <t>AZ 31 AI Antokotanitsara</t>
  </si>
  <si>
    <t>/0342137177</t>
  </si>
  <si>
    <t xml:space="preserve">Andry </t>
  </si>
  <si>
    <t>Lot C 57 A Bis Ambohimanarina</t>
  </si>
  <si>
    <t>/0341360761</t>
  </si>
  <si>
    <t>ANDRIAMAHEFA</t>
  </si>
  <si>
    <t>Johary Mananjara</t>
  </si>
  <si>
    <t>/0344043666</t>
  </si>
  <si>
    <t>Radomamy</t>
  </si>
  <si>
    <t>Lot II B 1 Ter Amboditsiry</t>
  </si>
  <si>
    <t>RANDRIAMANANA</t>
  </si>
  <si>
    <t>Vonjijanahary Malalaniaina Jocelyn</t>
  </si>
  <si>
    <t>Lot AD 48 Ankadikely</t>
  </si>
  <si>
    <t>/0344258182</t>
  </si>
  <si>
    <t xml:space="preserve">RAVELOHARILALA </t>
  </si>
  <si>
    <t>Nirisoa</t>
  </si>
  <si>
    <t>Lot IV N 50 A Ankaditapaka AVARATRA</t>
  </si>
  <si>
    <t>/0341352385</t>
  </si>
  <si>
    <t>RANDRIAMANANTSOA</t>
  </si>
  <si>
    <t>Faniry Jonathan</t>
  </si>
  <si>
    <t>Lot II B 48 E Amboditsiry</t>
  </si>
  <si>
    <t>ANDRIANALINANJARA</t>
  </si>
  <si>
    <t>Mino Malala</t>
  </si>
  <si>
    <t>Lot IVG 15 G Bis Anosisoa</t>
  </si>
  <si>
    <t>/0347917372</t>
  </si>
  <si>
    <t>RAVONIJATOVO</t>
  </si>
  <si>
    <t>Andry Mirado</t>
  </si>
  <si>
    <t>Lot B 30 Bis Ambohimanarina</t>
  </si>
  <si>
    <t>/0344332094</t>
  </si>
  <si>
    <t>ANDRIAMORIA</t>
  </si>
  <si>
    <t>ANDRIAMALALA NOTAHINJANAHARY</t>
  </si>
  <si>
    <t>Antsasoa Oelinandrianina</t>
  </si>
  <si>
    <t>Lot III D 3 N Tsaramandroso</t>
  </si>
  <si>
    <t>,,,,</t>
  </si>
  <si>
    <t>KYMCO</t>
  </si>
  <si>
    <t>SE301000252</t>
  </si>
  <si>
    <t>TOPHIQUE</t>
  </si>
  <si>
    <t>Lot AC 09 Ankadindravola Ivato</t>
  </si>
  <si>
    <t>/0320523037</t>
  </si>
  <si>
    <t>Andriamiarivony Balisama</t>
  </si>
  <si>
    <t>Lot CF 46 Bis Faliarivo</t>
  </si>
  <si>
    <t>/0340869424</t>
  </si>
  <si>
    <t>Dimby Herinantenaina</t>
  </si>
  <si>
    <t>Lot III F 177 Antohomadinika</t>
  </si>
  <si>
    <t>/0348944224</t>
  </si>
  <si>
    <t xml:space="preserve">RANDRIANASOLO </t>
  </si>
  <si>
    <t>Rivoarison</t>
  </si>
  <si>
    <t>Lot 67 G24 Ambohitsimiova Ambohidratrimo</t>
  </si>
  <si>
    <t>/0341057212</t>
  </si>
  <si>
    <t>ANDRIAMIARISOANDRAIBE</t>
  </si>
  <si>
    <t>Lot I H 27 Ter G Soavimasoandro</t>
  </si>
  <si>
    <t>RAKOTONJANAHARY</t>
  </si>
  <si>
    <t>Jean Faniriana</t>
  </si>
  <si>
    <t>Lot II E 44 HYC Bis Ankadindramamy</t>
  </si>
  <si>
    <t xml:space="preserve">RAMBELOSON </t>
  </si>
  <si>
    <t>Tess</t>
  </si>
  <si>
    <t>Lot ITU 44 Bis Itaosy</t>
  </si>
  <si>
    <t>/0342770363</t>
  </si>
  <si>
    <t>Sedera</t>
  </si>
  <si>
    <t>Lot 16 D Bis Talatamaty</t>
  </si>
  <si>
    <t>Lot 1 Dter Antanetibe</t>
  </si>
  <si>
    <t>ANDRIAMBOLAMANANA</t>
  </si>
  <si>
    <t>Hery Nirina</t>
  </si>
  <si>
    <t>Lot II H 35 DGL Bis Ankerana</t>
  </si>
  <si>
    <t>/0340505790</t>
  </si>
  <si>
    <t>?</t>
  </si>
  <si>
    <t>VALISON</t>
  </si>
  <si>
    <t>Tafitaniaina Tissa</t>
  </si>
  <si>
    <t>Ambohimandamina Mahabibo</t>
  </si>
  <si>
    <t>/(53)</t>
  </si>
  <si>
    <t>LISTE CLIENTs SCOOT MASTER</t>
  </si>
  <si>
    <t>Référence</t>
  </si>
  <si>
    <t>LGR7</t>
  </si>
  <si>
    <t>Courroie</t>
  </si>
  <si>
    <t>Cache echap</t>
  </si>
  <si>
    <t>Cygnus</t>
  </si>
  <si>
    <t>Racing King</t>
  </si>
  <si>
    <t>Quantité</t>
  </si>
  <si>
    <t>Embrayage</t>
  </si>
  <si>
    <t>7</t>
  </si>
  <si>
    <t>ZAFINDRAZAKA RASON</t>
  </si>
  <si>
    <t>Tsiky Sarika Todisoa</t>
  </si>
  <si>
    <t>Lot FVB-22 Ambaniavaratra</t>
  </si>
  <si>
    <t>/0328025145</t>
  </si>
  <si>
    <t>svt 54</t>
  </si>
  <si>
    <t>Acheteur extérieur: vendu par TSINOLAVINA</t>
  </si>
  <si>
    <t>Acheteur extérieur</t>
  </si>
  <si>
    <t>Acheteur extérieur: vendu par ANDRIAMIHARISO Tahiriniaina</t>
  </si>
  <si>
    <t>Acheteur extérieur: vendu par RAKOTININDRINA Elysée</t>
  </si>
  <si>
    <t>Hanitriniaina Alain</t>
  </si>
  <si>
    <t>Lot FJS-26 Bis Soavinimerina</t>
  </si>
  <si>
    <t>/0349299899</t>
  </si>
  <si>
    <t>SVT 28</t>
  </si>
  <si>
    <t>Poignets kitako</t>
  </si>
  <si>
    <t>Mika</t>
  </si>
  <si>
    <t>/0340326191</t>
  </si>
  <si>
    <t>RANDRIANAIVO</t>
  </si>
  <si>
    <t>André Felix</t>
  </si>
  <si>
    <t>Lot IAI 195 A Antsahamasina Ambohidrapeto</t>
  </si>
  <si>
    <t>Acheteur extérieur: vendu par RANARISON Stephan Liva</t>
  </si>
  <si>
    <t>svt 18</t>
  </si>
  <si>
    <t>Mahavoky</t>
  </si>
  <si>
    <t>Feno</t>
  </si>
  <si>
    <t>/0337305083</t>
  </si>
  <si>
    <t>Mr et Fils</t>
  </si>
  <si>
    <t>/0341849356</t>
  </si>
  <si>
    <t xml:space="preserve">G5 150 /12 </t>
  </si>
  <si>
    <t>Cousin Andry</t>
  </si>
  <si>
    <t>Antsa</t>
  </si>
  <si>
    <t>/0341593254 - /0330680694</t>
  </si>
  <si>
    <t>G5 150 /12 FI</t>
  </si>
  <si>
    <t>Mampianimanana Altess</t>
  </si>
  <si>
    <t>Lot 44 Bis Itaosy</t>
  </si>
  <si>
    <t>YAMAHA Jog Pro</t>
  </si>
  <si>
    <t>4UF-101-388</t>
  </si>
  <si>
    <t>Semaine 11</t>
  </si>
  <si>
    <t>Harimanana Fabien Emma</t>
  </si>
  <si>
    <t>Lot II A 17 Amboditsiry</t>
  </si>
  <si>
    <t>/0342781514</t>
  </si>
  <si>
    <t>YAMAHA ZR Evolution</t>
  </si>
  <si>
    <t>4NF032020(N° Cadre: SA165-930209)</t>
  </si>
  <si>
    <t xml:space="preserve">RAZAFY </t>
  </si>
  <si>
    <t>Tsihoarana Jacquis</t>
  </si>
  <si>
    <t>/0342479422</t>
  </si>
  <si>
    <t>Caserne Pénitentier Antanimora</t>
  </si>
  <si>
    <t>POLICE *************</t>
  </si>
  <si>
    <t>E3B8E-242568</t>
  </si>
  <si>
    <t>YAMAHA CYGNUS</t>
  </si>
  <si>
    <t>E39E-225988(N° CADRE: LPRSE36108A216896</t>
  </si>
  <si>
    <t>/0320779383</t>
  </si>
  <si>
    <t>YAMAHA RS</t>
  </si>
  <si>
    <t>SPD118-176</t>
  </si>
  <si>
    <t>RANDRIAMAMPIANINA</t>
  </si>
  <si>
    <t>Safidinomena Antonio Aldeira Emmanuel</t>
  </si>
  <si>
    <t>Lot II H 88 B Soavimasoandro</t>
  </si>
  <si>
    <t>/0332926880</t>
  </si>
  <si>
    <t>SVT 50</t>
  </si>
  <si>
    <t xml:space="preserve">Acheteur extérieur: vendu par ANDRIAMANANTENA Toky </t>
  </si>
  <si>
    <t>Acheteur extérieur: vendu par LEROY Emile</t>
  </si>
  <si>
    <t>SERA OCCAZ</t>
  </si>
  <si>
    <t>Acheteur extérieur: vendu par RAVONIJATOVO Andry Mirado</t>
  </si>
  <si>
    <t>Acheteur extérieur: vendu par RASOAMIARAMANANA Soloheritiana</t>
  </si>
  <si>
    <t>Acheteur extérieur: vendu par RAVELONIRINA AH WENG</t>
  </si>
  <si>
    <t>Acheteur extérieur: vendu par RAMANOELINA Mamiarivony</t>
  </si>
  <si>
    <t>Acheteur extérieur: vendu par ANDRIAMIHARISOANDRAIBE Tahiriniaina</t>
  </si>
  <si>
    <t>RAMALANJAONA</t>
  </si>
  <si>
    <t>Heritiana Jerry Robsoel</t>
  </si>
  <si>
    <t>RABARISON JOHNSON</t>
  </si>
  <si>
    <t>Tsiorinirina</t>
  </si>
  <si>
    <t>Lot II H 35 G Bis Ankadindramamy</t>
  </si>
  <si>
    <t>/0324406297</t>
  </si>
  <si>
    <t>Acheteur extérieur: vendu par RAKOTOVAO Nirina José</t>
  </si>
  <si>
    <t>simple</t>
  </si>
  <si>
    <t>Kit</t>
  </si>
  <si>
    <t>1</t>
  </si>
  <si>
    <t>Prix unitaire(fmg)</t>
  </si>
  <si>
    <t>ABM 7A</t>
  </si>
  <si>
    <t xml:space="preserve">Batterie </t>
  </si>
  <si>
    <t>SR30AC-204533</t>
  </si>
  <si>
    <t>SR30AC-100693</t>
  </si>
  <si>
    <t>Semaine 12</t>
  </si>
  <si>
    <t>SR25EA-120858</t>
  </si>
  <si>
    <t>KYMCO G5 MEGAFI 125</t>
  </si>
  <si>
    <t>KYMCO G5 MEGAFI 150</t>
  </si>
  <si>
    <t>SR30ED-116730</t>
  </si>
  <si>
    <t>SR252600146</t>
  </si>
  <si>
    <t>mika</t>
  </si>
  <si>
    <t>/0347473560</t>
  </si>
  <si>
    <t>ABDALAH ERIC</t>
  </si>
  <si>
    <t>Marcel Ramparany</t>
  </si>
  <si>
    <t>/034 59 912 79</t>
  </si>
  <si>
    <t>Lot DE 13 Bis Ambolotara SabNam</t>
  </si>
  <si>
    <t>YAMAHA JOG</t>
  </si>
  <si>
    <t>4UF617451</t>
  </si>
  <si>
    <t>/0344071556</t>
  </si>
  <si>
    <t>CLT</t>
  </si>
  <si>
    <t>G5 125 fi (02/07/2020)</t>
  </si>
  <si>
    <t>RAHARISEHENO</t>
  </si>
  <si>
    <t>Lot IPK A 01 Ambanilalana</t>
  </si>
  <si>
    <t>/0330159562</t>
  </si>
  <si>
    <t>SCOOT MASTER DATA BASE 1,0</t>
  </si>
  <si>
    <t xml:space="preserve">  </t>
  </si>
  <si>
    <t>KYMCO G6</t>
  </si>
  <si>
    <t>SE30BB-105838</t>
  </si>
  <si>
    <t>SE25AA-128240</t>
  </si>
  <si>
    <t>SR30BB-230657</t>
  </si>
  <si>
    <t>SR30BB-206927</t>
  </si>
  <si>
    <t>A1FO1674</t>
  </si>
  <si>
    <t>SR30BB-101095</t>
  </si>
  <si>
    <t>A1FO2295</t>
  </si>
  <si>
    <t>SR30BB-249517</t>
  </si>
  <si>
    <t>SR30BB-200378</t>
  </si>
  <si>
    <t>SR25AA-207131</t>
  </si>
  <si>
    <t>SE25AA-118730</t>
  </si>
  <si>
    <t>SR25EF-106083</t>
  </si>
  <si>
    <t>SE25AA-112620</t>
  </si>
  <si>
    <t>SE25AA-130815</t>
  </si>
  <si>
    <t>SE25AA-111140</t>
  </si>
  <si>
    <t>SE25AA-128285</t>
  </si>
  <si>
    <t>SE25AA-138935</t>
  </si>
  <si>
    <t>SE25AD-100557</t>
  </si>
  <si>
    <t>SE25AA-112407</t>
  </si>
  <si>
    <t>SR25EA-100867</t>
  </si>
  <si>
    <t>SE25AA-117928</t>
  </si>
  <si>
    <t>SE25AA-104233</t>
  </si>
  <si>
    <t>SA25GD-160982</t>
  </si>
  <si>
    <t>SR30AC-202383</t>
  </si>
  <si>
    <t>SR25AD-200409</t>
  </si>
  <si>
    <t>SE25AA-135672</t>
  </si>
  <si>
    <t>SR25AA-206193</t>
  </si>
  <si>
    <t>SE25AA-104620</t>
  </si>
  <si>
    <t>SE25AB-101487</t>
  </si>
  <si>
    <t>SR25AA-204019</t>
  </si>
  <si>
    <t>SE25AA-143241</t>
  </si>
  <si>
    <t>SE25AA-123698</t>
  </si>
  <si>
    <t>SE25AA-116689</t>
  </si>
  <si>
    <t>SE25AA-101659</t>
  </si>
  <si>
    <t>SR25EA-114331</t>
  </si>
  <si>
    <t>SR30AC-102065</t>
  </si>
  <si>
    <t>SR30BB-238569</t>
  </si>
  <si>
    <t>SE25AA-115817</t>
  </si>
  <si>
    <t>SR25AA-210909</t>
  </si>
  <si>
    <t>SR30AC-203137</t>
  </si>
  <si>
    <t>SE25AA-117621</t>
  </si>
  <si>
    <t>SE25AA-115568</t>
  </si>
  <si>
    <t>SR30BB-104443</t>
  </si>
  <si>
    <t>PGO Tigra 125</t>
  </si>
  <si>
    <t>KYMCO G5 125 FI</t>
  </si>
  <si>
    <t>KYMCO RACING 150</t>
  </si>
  <si>
    <t>SR25EA-109656</t>
  </si>
  <si>
    <t>Semaine 13</t>
  </si>
  <si>
    <t>RAKOTOARIVELO</t>
  </si>
  <si>
    <t>Lot IPA 53 Ankadilalana Anosimasina</t>
  </si>
  <si>
    <t>/0346625286</t>
  </si>
  <si>
    <t>AUF-410838</t>
  </si>
  <si>
    <t>RATIARISON</t>
  </si>
  <si>
    <t xml:space="preserve">David </t>
  </si>
  <si>
    <t>Lot IPA 02 Bis Ankadilalana Anosimasina</t>
  </si>
  <si>
    <t>/0331537485</t>
  </si>
  <si>
    <t>SR30BB-244418</t>
  </si>
  <si>
    <t>SR30BB-233512</t>
  </si>
  <si>
    <t>SR30BB-220436</t>
  </si>
  <si>
    <t>SR30BB-220282</t>
  </si>
  <si>
    <t>SR30BB-201410</t>
  </si>
  <si>
    <t>SR30BB-214417</t>
  </si>
  <si>
    <t>SR30BB-252125</t>
  </si>
  <si>
    <t>Heriniaina Mickael</t>
  </si>
  <si>
    <t>Lot 3 V 38 FJJ Anosizato Est I</t>
  </si>
  <si>
    <t>/0330709073</t>
  </si>
  <si>
    <t>RAKOTOSON</t>
  </si>
  <si>
    <t>Gaston</t>
  </si>
  <si>
    <t>Lot II H 54 Bis Ampandrana</t>
  </si>
  <si>
    <t>/</t>
  </si>
  <si>
    <t>RAMAHERISON</t>
  </si>
  <si>
    <t>Cle Patrice</t>
  </si>
  <si>
    <t>Lot 03/1079 D Soaviniadanana</t>
  </si>
  <si>
    <t>/0341587578</t>
  </si>
  <si>
    <t>YAMAHA BWS</t>
  </si>
  <si>
    <t>5CPI09169</t>
  </si>
  <si>
    <t>RASOLOFOMANANA</t>
  </si>
  <si>
    <t>Nantenaina Andry Hery</t>
  </si>
  <si>
    <t>Lot II N 81 LB Analamahitsy</t>
  </si>
  <si>
    <t>/0344887401</t>
  </si>
  <si>
    <t>RAKOTONDRABARY</t>
  </si>
  <si>
    <t>Naina</t>
  </si>
  <si>
    <t>Lot II A73 BL Ambatomainty</t>
  </si>
  <si>
    <t>/0344417159</t>
  </si>
  <si>
    <t>ANDRIANTSOA RANAIVO</t>
  </si>
  <si>
    <t>Ranto Ny Aina</t>
  </si>
  <si>
    <t>Lot VH 30 Bis Volosarika</t>
  </si>
  <si>
    <t>/0349101353</t>
  </si>
  <si>
    <t xml:space="preserve">ANDRIAMIHAJANIRINA </t>
  </si>
  <si>
    <t>Jean Victor</t>
  </si>
  <si>
    <t>Lot II V 9 Ter Besarety Ampandrana</t>
  </si>
  <si>
    <t>/0321108051</t>
  </si>
  <si>
    <t>RAJAONISON</t>
  </si>
  <si>
    <t>Tolotra</t>
  </si>
  <si>
    <t>Lot G 160 Namehana</t>
  </si>
  <si>
    <t>/0343967364</t>
  </si>
  <si>
    <t>ANDRIANANTENAINA</t>
  </si>
  <si>
    <t>Emilien</t>
  </si>
  <si>
    <t>Lot II B 136 Ter J Manjakaray</t>
  </si>
  <si>
    <t>/0347563192</t>
  </si>
  <si>
    <t>NOROSOA</t>
  </si>
  <si>
    <t>Viviana Olga</t>
  </si>
  <si>
    <t>Lot D 253 Angavao Ambodivona</t>
  </si>
  <si>
    <t>/0332500653</t>
  </si>
  <si>
    <t>ANDRIAMAHEFASON</t>
  </si>
  <si>
    <t>Antsa Harimbola</t>
  </si>
  <si>
    <t>Lot II G 3 D B15 Ambatomaro</t>
  </si>
  <si>
    <t>/0330680694</t>
  </si>
  <si>
    <t>RAHASOARIMITANTSOA</t>
  </si>
  <si>
    <t>Fetramampionona Ando Ny  Aina</t>
  </si>
  <si>
    <t>Lot BM 124 Atsimombohitra A</t>
  </si>
  <si>
    <t>/0347079955</t>
  </si>
  <si>
    <t>Andrianirina Gino Jacob</t>
  </si>
  <si>
    <t>RANDRIAMIANDRA</t>
  </si>
  <si>
    <t>Fanilontsoa Mamihary</t>
  </si>
  <si>
    <t>Lot A 82 Faravohitra</t>
  </si>
  <si>
    <t>RASAMIMANANA</t>
  </si>
  <si>
    <t>Tojo Nirina</t>
  </si>
  <si>
    <t>Lot IVC 21 C Ambohimandroso</t>
  </si>
  <si>
    <t>RANDRIANARISOA</t>
  </si>
  <si>
    <t>Fidimahefa Sarobidy</t>
  </si>
  <si>
    <t>Lot II AB 47 Andronobe</t>
  </si>
  <si>
    <t>/0349852221</t>
  </si>
  <si>
    <t>ANDRIAMAHERY</t>
  </si>
  <si>
    <t>Johary</t>
  </si>
  <si>
    <t>IAC 61 C Andramavola</t>
  </si>
  <si>
    <t>/0344044666</t>
  </si>
  <si>
    <t>/0346052135</t>
  </si>
  <si>
    <t>MarSScoot</t>
  </si>
  <si>
    <t>Andranomena</t>
  </si>
  <si>
    <t>/0337919365</t>
  </si>
  <si>
    <t>RAFIDIMALALA</t>
  </si>
  <si>
    <t>Miandritiana</t>
  </si>
  <si>
    <t>Lot T23 Tsimahandry Ankazo</t>
  </si>
  <si>
    <t>/0340122928</t>
  </si>
  <si>
    <t>RAJAONARIMALALA</t>
  </si>
  <si>
    <t>Tojo Jean Salomé Fisther</t>
  </si>
  <si>
    <t>Lot 54 Tanjondava</t>
  </si>
  <si>
    <t>/0341620167</t>
  </si>
  <si>
    <t>RAMAMONJISOA</t>
  </si>
  <si>
    <t>Rado Navalona</t>
  </si>
  <si>
    <t>/0340133772</t>
  </si>
  <si>
    <t>Lot 2H Ter G 27 Soavimasoandro</t>
  </si>
  <si>
    <t>TOJO</t>
  </si>
  <si>
    <t>RAMANGALISON</t>
  </si>
  <si>
    <t>Tamby Fitia Michaël</t>
  </si>
  <si>
    <t>Lot 077 A Ter Ambohibao</t>
  </si>
  <si>
    <t>/0349739710</t>
  </si>
  <si>
    <t>KYMCO RACING KING</t>
  </si>
  <si>
    <t>ANDRIAMANANTSOA</t>
  </si>
  <si>
    <t>LUC Heritiana</t>
  </si>
  <si>
    <t xml:space="preserve">Lot IVJ 25 Ankadifotsy Mandilaza </t>
  </si>
  <si>
    <t>/0332436839</t>
  </si>
  <si>
    <t>SC36AE-107489</t>
  </si>
  <si>
    <t>SC36AE-107989</t>
  </si>
  <si>
    <t>SE30AA-102482</t>
  </si>
  <si>
    <t>RANDRIANARIVO</t>
  </si>
  <si>
    <t>Tsioriniaina Andriatsitohaina</t>
  </si>
  <si>
    <t>Lot III B 293 Morarano Firaisana</t>
  </si>
  <si>
    <t>/0338943929</t>
  </si>
  <si>
    <t>Tojoniaina Valisoa</t>
  </si>
  <si>
    <t>Ankofafalahy Fianarantsoa</t>
  </si>
  <si>
    <t>/0342955090</t>
  </si>
  <si>
    <t>Semaine 14</t>
  </si>
  <si>
    <t>Toavina Stephan</t>
  </si>
  <si>
    <t>Lot ITZ 68 Bis Andranonahoatra</t>
  </si>
  <si>
    <t>/0345487188</t>
  </si>
  <si>
    <t>Acheteur extérieur: Vendu par RAKOTONINDRINA Elysée</t>
  </si>
  <si>
    <t xml:space="preserve"> </t>
  </si>
  <si>
    <t>AINANIRINA</t>
  </si>
  <si>
    <t>Nanchy Rado</t>
  </si>
  <si>
    <t>Lot IC 92 Ter Ankadilalampotsy</t>
  </si>
  <si>
    <t>/0334227081</t>
  </si>
  <si>
    <t>RAMANAMBOHITRA</t>
  </si>
  <si>
    <t>Mamy Alain</t>
  </si>
  <si>
    <t>Lot II D 40 Tsarahonenana</t>
  </si>
  <si>
    <t>/0340273445</t>
  </si>
  <si>
    <t>Acheteur extérieur : Vendu par RASAMIMANANA Tojo Nirina</t>
  </si>
  <si>
    <t>RASOLONIRINA-ANDRINIAINA</t>
  </si>
  <si>
    <t>Olivier</t>
  </si>
  <si>
    <t>Lot B-397 Anatihazo Isotry</t>
  </si>
  <si>
    <t>/0345590977</t>
  </si>
  <si>
    <t>Acheteur extérieur : Vendu par ANDRIAMIHARISOANDRAIBE Tahiriniaina</t>
  </si>
  <si>
    <t>RABEANTSOINA</t>
  </si>
  <si>
    <t>Heriniaina Valimbavaka</t>
  </si>
  <si>
    <t>Lot IVF 58 CA Ambohidahy</t>
  </si>
  <si>
    <t>/0320514506</t>
  </si>
  <si>
    <t>Acheteur extérieur : Vendu par MarSScoot</t>
  </si>
  <si>
    <t>Acheteur extérieur : RAZAFIMAHATRATRA Andrianirina Gino Jacob</t>
  </si>
  <si>
    <t>svt 59</t>
  </si>
  <si>
    <t>svt 70</t>
  </si>
  <si>
    <t>Acheteur extérieur : Vendu par ANDRIAMAHERY Johary</t>
  </si>
  <si>
    <t>MILIHARIJAONA</t>
  </si>
  <si>
    <t>Sedrahariniera Rianala</t>
  </si>
  <si>
    <t>Logement ASCENA FKT/Ankazobe I</t>
  </si>
  <si>
    <t>/0329318893</t>
  </si>
  <si>
    <t>Acheteur extérieur : Vendu par RASOLONOELINA Antsa Santatriniaina</t>
  </si>
  <si>
    <t>svt 57</t>
  </si>
  <si>
    <t>svt 80</t>
  </si>
  <si>
    <t>Acheteur extérieur : Vendu par ANDRIAMAHEFASON Antsa Harimbola</t>
  </si>
  <si>
    <t>RABENJAMNA</t>
  </si>
  <si>
    <t>Arnaud Radison</t>
  </si>
  <si>
    <t>Ambohidramasy</t>
  </si>
  <si>
    <t>/0346350535</t>
  </si>
  <si>
    <t>RAHARINDRANTO</t>
  </si>
  <si>
    <t>Mampionona</t>
  </si>
  <si>
    <t>RAKOTOARISOLO</t>
  </si>
  <si>
    <t>Toky Samoel</t>
  </si>
  <si>
    <t>Lot IVJ 17 Mandialaza ankadisotsy</t>
  </si>
  <si>
    <t>/0332097816</t>
  </si>
  <si>
    <t>KYMCO G5 fi/12</t>
  </si>
  <si>
    <t>KYMCO G5 FI</t>
  </si>
  <si>
    <t>Tsanoharana Jacquis</t>
  </si>
  <si>
    <t>Tanambao Verrerie</t>
  </si>
  <si>
    <t>RASOLOFOARIMANANA</t>
  </si>
  <si>
    <t>Lovasoa</t>
  </si>
  <si>
    <t>Lot IA 90 C Antalamohitra</t>
  </si>
  <si>
    <t>/0343137111</t>
  </si>
  <si>
    <t xml:space="preserve">RAKOTONIRINA </t>
  </si>
  <si>
    <t>Jean Paul</t>
  </si>
  <si>
    <t>Amboditsiry</t>
  </si>
  <si>
    <t>/0345318063</t>
  </si>
  <si>
    <t>Semaine 15</t>
  </si>
  <si>
    <t>DARMAN BRAW</t>
  </si>
  <si>
    <t>Tsiefemana</t>
  </si>
  <si>
    <t>Morondava</t>
  </si>
  <si>
    <t>HARIFANIRISON</t>
  </si>
  <si>
    <t>Tsiriniaina Tafita</t>
  </si>
  <si>
    <t>Lot II M 106 A BIS Andravoahangy Est</t>
  </si>
  <si>
    <t>/0342669934</t>
  </si>
  <si>
    <t>RAZAFINDRALAMBO</t>
  </si>
  <si>
    <t>Lot II A 78 A BIS Ambatomainty</t>
  </si>
  <si>
    <t>/0334365542</t>
  </si>
  <si>
    <t>YAMAHA JOG ZR</t>
  </si>
  <si>
    <t xml:space="preserve">RAMILISON </t>
  </si>
  <si>
    <t>Luca Antonio</t>
  </si>
  <si>
    <t>Lot VS 54FM Ter Ambolokandrina</t>
  </si>
  <si>
    <t>/0347586029</t>
  </si>
  <si>
    <t>svt 41</t>
  </si>
  <si>
    <t>Acheteur extérieur : Vendu par RAVELONIAINA AH WENG Francis Mathieu</t>
  </si>
  <si>
    <t>RAVALOMANANTSOA</t>
  </si>
  <si>
    <t>Hasina (Tojo)</t>
  </si>
  <si>
    <t xml:space="preserve">RAZANAMAHEFA </t>
  </si>
  <si>
    <t>Daniel</t>
  </si>
  <si>
    <t>Pres A 29 Ter Ambohidroa</t>
  </si>
  <si>
    <t>/0346638256</t>
  </si>
  <si>
    <t>YAMAHA JOG PRO</t>
  </si>
  <si>
    <t>4DMO37670</t>
  </si>
  <si>
    <t>RAMASOARIJENINA SOLOMIARY</t>
  </si>
  <si>
    <t>Tediso Louis Thombson</t>
  </si>
  <si>
    <t>Lot IVW 54 GBIA Anosizato Est II</t>
  </si>
  <si>
    <t>/0349535523</t>
  </si>
  <si>
    <t>RANDRIANIFALIANA</t>
  </si>
  <si>
    <t>Sitrakatenaina Goerges</t>
  </si>
  <si>
    <t>CSP 8 Analamahitsy</t>
  </si>
  <si>
    <t>/0342954932</t>
  </si>
  <si>
    <t>RAVELOMANANONY</t>
  </si>
  <si>
    <t>Florent</t>
  </si>
  <si>
    <t>Lot IVH 127 Ambohimanandray</t>
  </si>
  <si>
    <t>5CP180978</t>
  </si>
  <si>
    <t>RAKOTOASIMBOLA</t>
  </si>
  <si>
    <t>Fidèle</t>
  </si>
  <si>
    <t>IA 262 Ambohimanatrika</t>
  </si>
  <si>
    <t>/0330176734</t>
  </si>
  <si>
    <t>RAZAFITSEHENO</t>
  </si>
  <si>
    <t>Rabenaivo Johary Niaina</t>
  </si>
  <si>
    <t>Lot IAF 37 A Antanetibe Ambohidrapeto</t>
  </si>
  <si>
    <t>/0340295566</t>
  </si>
  <si>
    <t>RANDRIANJATOVO</t>
  </si>
  <si>
    <t>Mosa Estelly</t>
  </si>
  <si>
    <t>Lot II J 64 A BIS Ivandry</t>
  </si>
  <si>
    <t>/0348074042</t>
  </si>
  <si>
    <t>RANDRIAMANANTENA</t>
  </si>
  <si>
    <t>Dina Fifaliana</t>
  </si>
  <si>
    <t>II C 63 Bis Manjakaray</t>
  </si>
  <si>
    <t>/0330960572</t>
  </si>
  <si>
    <t>Semaine 16</t>
  </si>
  <si>
    <t>Nampiantsoa Jean</t>
  </si>
  <si>
    <t>Lot III X 152 KBB Anosibe Ouest II</t>
  </si>
  <si>
    <t>/0330127503</t>
  </si>
  <si>
    <t>svt 31</t>
  </si>
  <si>
    <t xml:space="preserve">RADIARNDRANTO </t>
  </si>
  <si>
    <t>Manampisoa</t>
  </si>
  <si>
    <t>Lot ISI cité Ambodin'Isotry</t>
  </si>
  <si>
    <t>/0346312033</t>
  </si>
  <si>
    <t>Acheteur extérieur : RANARISON Stephan Liva</t>
  </si>
  <si>
    <t>RABEHANITRINIONY</t>
  </si>
  <si>
    <t xml:space="preserve">Hambinintsoa </t>
  </si>
  <si>
    <t>Lot III AB 36 Andrononobe</t>
  </si>
  <si>
    <t>/0343840987</t>
  </si>
  <si>
    <t>RAZAFINIAINA</t>
  </si>
  <si>
    <t>Angena</t>
  </si>
  <si>
    <t>Lot ITU 08 Ter A Ambanilalana</t>
  </si>
  <si>
    <t>/0340564463</t>
  </si>
  <si>
    <t xml:space="preserve">ANDRIAMBOLOLONA </t>
  </si>
  <si>
    <t xml:space="preserve">Elissa </t>
  </si>
  <si>
    <t>Lot 38/A Ambohibe Ilafy</t>
  </si>
  <si>
    <t>/0347100443</t>
  </si>
  <si>
    <t>ANDRIAMANATSOA</t>
  </si>
  <si>
    <t>Didier Lemizana</t>
  </si>
  <si>
    <t>Lot IVL 36 C Anosivavaka</t>
  </si>
  <si>
    <t>/0345278873</t>
  </si>
  <si>
    <t>SR30ED-101885</t>
  </si>
  <si>
    <t>SR30ED-119887</t>
  </si>
  <si>
    <t>SR30ED-117683</t>
  </si>
  <si>
    <t xml:space="preserve">RATOARIVELO </t>
  </si>
  <si>
    <t>Hariniaina Lionel</t>
  </si>
  <si>
    <t>SE25AA-142723</t>
  </si>
  <si>
    <t>ANDRIATSILAVINA</t>
  </si>
  <si>
    <t>Siitrakiniaina Joé</t>
  </si>
  <si>
    <t>Lot VB 83 A Ambatoroka</t>
  </si>
  <si>
    <t>/0346973380</t>
  </si>
  <si>
    <t>SR25AC-101943</t>
  </si>
  <si>
    <t>Semaine 17</t>
  </si>
  <si>
    <t>SR30ED-101892</t>
  </si>
  <si>
    <t>Nb moto vendu</t>
  </si>
  <si>
    <t>RAKOTONIRINA</t>
  </si>
  <si>
    <t xml:space="preserve">Ny Ony Tsioriniaina </t>
  </si>
  <si>
    <t>Lot II AV 35 Avaratsena</t>
  </si>
  <si>
    <t>/0344187494</t>
  </si>
  <si>
    <t>/0320679376</t>
  </si>
  <si>
    <t>YAMAHA RSZ</t>
  </si>
  <si>
    <t>5PD118176</t>
  </si>
  <si>
    <t>RAKOTONOMENJANAHARY</t>
  </si>
  <si>
    <t>Tahina Bejamin</t>
  </si>
  <si>
    <t>Lot IB 394 Bis Andohoranofotsy</t>
  </si>
  <si>
    <t>/0343943539</t>
  </si>
  <si>
    <t>SE25AA-140030</t>
  </si>
  <si>
    <t xml:space="preserve">FENOHASINA </t>
  </si>
  <si>
    <t>Oliva</t>
  </si>
  <si>
    <t>Lot III C 41 ifarihy</t>
  </si>
  <si>
    <t>/0343564373</t>
  </si>
  <si>
    <t>Acheteur extérieur : TSINOLAVINA Tiana Jacky Familie leon</t>
  </si>
  <si>
    <t xml:space="preserve">RAKOTOMALALA </t>
  </si>
  <si>
    <t>Mamy Niaina Tinasoa</t>
  </si>
  <si>
    <t>Lot II a 89 B Anjanahary</t>
  </si>
  <si>
    <t>/0325672204</t>
  </si>
  <si>
    <t>"4DM"-4SG000202</t>
  </si>
  <si>
    <t>RAMANANTSOA</t>
  </si>
  <si>
    <t xml:space="preserve">Dina </t>
  </si>
  <si>
    <t>Lot II N 116 bis Z Anjanahary</t>
  </si>
  <si>
    <t>Acheteur extérieur : tojo</t>
  </si>
  <si>
    <t>SR30BB-226637</t>
  </si>
  <si>
    <t>RANDRIANARIMALALA</t>
  </si>
  <si>
    <t>Herisoa Lucien Arsène</t>
  </si>
  <si>
    <t>Lot IVZ 122 B Ter Andohatapenaka</t>
  </si>
  <si>
    <t>/034</t>
  </si>
  <si>
    <t>SE25AA-115636</t>
  </si>
  <si>
    <t>ANDRIANJAFINARIVO</t>
  </si>
  <si>
    <t>Ionjatiana</t>
  </si>
  <si>
    <t>AT 163 Talatan'ny volon'ondry</t>
  </si>
  <si>
    <t>/0331399281</t>
  </si>
  <si>
    <t>SR25AA-102191</t>
  </si>
  <si>
    <t>BE</t>
  </si>
  <si>
    <t xml:space="preserve">Fréderic </t>
  </si>
  <si>
    <t>Lot 1680/1 67Ha Nord-Est</t>
  </si>
  <si>
    <t>/0320213877</t>
  </si>
  <si>
    <t>Semaine 18</t>
  </si>
  <si>
    <t>RAMERISAONA</t>
  </si>
  <si>
    <t>Vincent Olivier</t>
  </si>
  <si>
    <t>SR25AA-100512</t>
  </si>
  <si>
    <t>RAKOTOMANGA</t>
  </si>
  <si>
    <t>Radoniaina Liva</t>
  </si>
  <si>
    <t>/0347627598</t>
  </si>
  <si>
    <t>SE25AB-103032</t>
  </si>
  <si>
    <t>RASOLONJANAHARY</t>
  </si>
  <si>
    <t>Maxime</t>
  </si>
  <si>
    <t>Lot III T 253 E35 Anosibe-Angarangarana</t>
  </si>
  <si>
    <t>/0345654180</t>
  </si>
  <si>
    <t xml:space="preserve">RAKOTONDRAZAFY </t>
  </si>
  <si>
    <t>Pascal</t>
  </si>
  <si>
    <t>Lot 371 AB Bis Ambohipanja</t>
  </si>
  <si>
    <t xml:space="preserve">ANDRIANANDRASANA </t>
  </si>
  <si>
    <t>Christien Jimmy</t>
  </si>
  <si>
    <t>Lot IC II 2 Ter AD Ankadilalampotsy</t>
  </si>
  <si>
    <t>/0341211655</t>
  </si>
  <si>
    <t>David Dylanne</t>
  </si>
  <si>
    <t>Lot II J 146 Bis Ambodivoanjo</t>
  </si>
  <si>
    <t>SE25AA-128336</t>
  </si>
  <si>
    <t>RANDRIANASY</t>
  </si>
  <si>
    <t>Hery Lanto</t>
  </si>
  <si>
    <t>Andriapamaky-Ambohitrony</t>
  </si>
  <si>
    <t>SE25AA-118567</t>
  </si>
  <si>
    <t>Lot IB 19 Ambohidasa</t>
  </si>
  <si>
    <t>PGO TIGRA</t>
  </si>
  <si>
    <t>A5F00206</t>
  </si>
  <si>
    <t>RAFIDIMANANTSOA</t>
  </si>
  <si>
    <t>Jean Gino</t>
  </si>
  <si>
    <t>Lot IVC 77 Ambodivoanjo</t>
  </si>
  <si>
    <t>/0349154657</t>
  </si>
  <si>
    <t>RAKOTONDRABE</t>
  </si>
  <si>
    <t>Andriamapionona Rado Ambinintsoa</t>
  </si>
  <si>
    <t>Lot 465 ME Bis Ivato</t>
  </si>
  <si>
    <t>/0340570620</t>
  </si>
  <si>
    <t>Bertrand</t>
  </si>
  <si>
    <t>Lot AB 473/D Antanimenakely</t>
  </si>
  <si>
    <t>/0342660671</t>
  </si>
  <si>
    <t>RANAIVOANDRIAMIALISOA</t>
  </si>
  <si>
    <t>Rivolala</t>
  </si>
  <si>
    <t>IVA 154 A Ambohimidasy</t>
  </si>
  <si>
    <t>/0348521873</t>
  </si>
  <si>
    <t>RAJOELISON</t>
  </si>
  <si>
    <t>David Landry</t>
  </si>
  <si>
    <t>Mahabo II Sabotsy ANTOGONA</t>
  </si>
  <si>
    <t>svt 92</t>
  </si>
  <si>
    <t>RAZAFITSIMIHORONA</t>
  </si>
  <si>
    <t>Josie Suscia</t>
  </si>
  <si>
    <t>86 Ter Ambohijanahary</t>
  </si>
  <si>
    <t>/0329264433</t>
  </si>
  <si>
    <t>SE251100813</t>
  </si>
  <si>
    <t>RAHARIJAONA</t>
  </si>
  <si>
    <t>Hery Soa</t>
  </si>
  <si>
    <t>/0344950099</t>
  </si>
  <si>
    <t>SE251100147</t>
  </si>
  <si>
    <t>RAKOTOMALALA ANDRIAMALINA</t>
  </si>
  <si>
    <t>VT 85 NRA Andohanimandroseza</t>
  </si>
  <si>
    <t>/0341922019</t>
  </si>
  <si>
    <t>SD25UC-110273</t>
  </si>
  <si>
    <t xml:space="preserve">A APPELER </t>
  </si>
  <si>
    <t>ARIMALALA</t>
  </si>
  <si>
    <t>Tolojanahary Marco</t>
  </si>
  <si>
    <t>Lot II E 27 B Bis Ambatokaranana</t>
  </si>
  <si>
    <t>/0341264141</t>
  </si>
  <si>
    <t>NIRINAMANANA</t>
  </si>
  <si>
    <t>Aina Francoeur</t>
  </si>
  <si>
    <t>Lot 114 E/3708 Tsimandatsa Tsaramandro Fianarantsoa</t>
  </si>
  <si>
    <t>/0346845398</t>
  </si>
  <si>
    <t>RAKOTOMAVO</t>
  </si>
  <si>
    <t>Andrianintovolz Radoniriny Jacquelin</t>
  </si>
  <si>
    <t>Lot 140G Namehana sabnam</t>
  </si>
  <si>
    <t>/0340105505</t>
  </si>
  <si>
    <t>E377E-333537</t>
  </si>
  <si>
    <t>RAZANADRAIBE NOMENJANAHARY</t>
  </si>
  <si>
    <t>Mr Rajo</t>
  </si>
  <si>
    <t>/0342060711</t>
  </si>
  <si>
    <t>Semaine 19</t>
  </si>
  <si>
    <t>/0343536505</t>
  </si>
  <si>
    <t>/0344075156</t>
  </si>
  <si>
    <t xml:space="preserve">RAJAONA </t>
  </si>
  <si>
    <t>Tony</t>
  </si>
  <si>
    <t>Lot AZ 105 K II Ambodivona</t>
  </si>
  <si>
    <t>svt 82</t>
  </si>
  <si>
    <t xml:space="preserve">RAMILIARIJAONA </t>
  </si>
  <si>
    <t>Jean Honoré</t>
  </si>
  <si>
    <t>Lot III V 152 I Bis D Anosizato Antsinanana</t>
  </si>
  <si>
    <t>/0331241661</t>
  </si>
  <si>
    <t>Svt 12</t>
  </si>
  <si>
    <t>RABEHOAVY</t>
  </si>
  <si>
    <t>Guy Harinirina</t>
  </si>
  <si>
    <t>IPJ 26 ANJAZAMIHIRA</t>
  </si>
  <si>
    <t>/0329443241</t>
  </si>
  <si>
    <t>Acheteur extérieur: Vendu par RANDRIANARIVO Tsioriniaina Andriatsitohaina</t>
  </si>
  <si>
    <t>Svt 81</t>
  </si>
  <si>
    <t>ANDRIAMIARINTSOA</t>
  </si>
  <si>
    <t>Aina Faneva</t>
  </si>
  <si>
    <t>Ambohitsoabe</t>
  </si>
  <si>
    <t>/0349399546</t>
  </si>
  <si>
    <t>Svt 84</t>
  </si>
  <si>
    <t>Acheteur extérieur: Vendu par RAZAFY Tsianoharana Jacquiss</t>
  </si>
  <si>
    <t>ANDRIAMAHENINA</t>
  </si>
  <si>
    <t>Sitrakiniaina Thomson</t>
  </si>
  <si>
    <t>Lot II D6 A Bis Amboditsiry</t>
  </si>
  <si>
    <t>/0337361313</t>
  </si>
  <si>
    <t>E390E-100452</t>
  </si>
  <si>
    <t>RANDRIAMIARY</t>
  </si>
  <si>
    <t>Dauphin</t>
  </si>
  <si>
    <t>Antronga</t>
  </si>
  <si>
    <t>Semaine 20</t>
  </si>
  <si>
    <t>RAJAONSON</t>
  </si>
  <si>
    <t>Rija Hasina</t>
  </si>
  <si>
    <t>Lot IHE 85 A Antanetibe</t>
  </si>
  <si>
    <t>/0344648724</t>
  </si>
  <si>
    <t>SVT 60</t>
  </si>
  <si>
    <t>205'</t>
  </si>
  <si>
    <t>SE25AA-139028</t>
  </si>
  <si>
    <t>SE25AA-125549</t>
  </si>
  <si>
    <t>SE25AA-136929</t>
  </si>
  <si>
    <t>SR25AD-201479</t>
  </si>
  <si>
    <t>SE25AA-142423</t>
  </si>
  <si>
    <t>SE25AA-103998</t>
  </si>
  <si>
    <t>SR30AC-101995</t>
  </si>
  <si>
    <t>SE25AA-136392</t>
  </si>
  <si>
    <t>SE25AA-142828</t>
  </si>
  <si>
    <t>SE25AA-115656</t>
  </si>
  <si>
    <t>SE25AA-101181</t>
  </si>
  <si>
    <t>SE25AA-127267</t>
  </si>
  <si>
    <t>SE25AA-103682</t>
  </si>
  <si>
    <t>SR30AC-202960</t>
  </si>
  <si>
    <t>SE25AA-100540</t>
  </si>
  <si>
    <t>SE25AA-126283</t>
  </si>
  <si>
    <t>SE25AA-101893</t>
  </si>
  <si>
    <t>SR25AA-207019</t>
  </si>
  <si>
    <t>SE25AA-100808</t>
  </si>
  <si>
    <t>SE25AA-107719</t>
  </si>
  <si>
    <t>SR30BB-200612</t>
  </si>
  <si>
    <t>SE30BB-101765</t>
  </si>
  <si>
    <t>SR25AC-100735</t>
  </si>
  <si>
    <t>SR30BB-105461</t>
  </si>
  <si>
    <t>SC36AE-302950</t>
  </si>
  <si>
    <t>SE25AA-145098</t>
  </si>
  <si>
    <t>SR25AA-206459</t>
  </si>
  <si>
    <t>SR30BB-208646</t>
  </si>
  <si>
    <t>SR30BB-235723</t>
  </si>
  <si>
    <t>SR30BB-210931</t>
  </si>
  <si>
    <t>SR25AD-203116</t>
  </si>
  <si>
    <t>SR30ED-122803</t>
  </si>
  <si>
    <t>SR30ED-106351</t>
  </si>
  <si>
    <t>SR30ED-109818</t>
  </si>
  <si>
    <t>SR30BB-225768</t>
  </si>
  <si>
    <t>SR30BB-214626</t>
  </si>
  <si>
    <t>SR30BB-260531</t>
  </si>
  <si>
    <t>SR30BB-224502</t>
  </si>
  <si>
    <t>SR30BB-102160</t>
  </si>
  <si>
    <t>SC36AE-105868</t>
  </si>
  <si>
    <t>SC36AE-107500</t>
  </si>
  <si>
    <t>SC36AE-104852</t>
  </si>
  <si>
    <t>SC36AE-106237</t>
  </si>
  <si>
    <t>SC36AE-106436</t>
  </si>
  <si>
    <t xml:space="preserve">RATOJOSOA </t>
  </si>
  <si>
    <t>Gazela</t>
  </si>
  <si>
    <t>Anosizato Ouest 127AZB</t>
  </si>
  <si>
    <t>PISERA</t>
  </si>
  <si>
    <t>RAKOTOMAMONJY</t>
  </si>
  <si>
    <t>Tolojanahary Andry Fortunat</t>
  </si>
  <si>
    <t>Lot IVO 123 Bis Ankorondrano Andrefana</t>
  </si>
  <si>
    <t>/0340750101</t>
  </si>
  <si>
    <t>PISERA(Ry jacky)</t>
  </si>
  <si>
    <t xml:space="preserve">RANDRIATAHINA </t>
  </si>
  <si>
    <t xml:space="preserve">RANDRIANARISOA </t>
  </si>
  <si>
    <t>Rojo Tiana</t>
  </si>
  <si>
    <t>Lot A 42 Bis D Ambohitrarahaba</t>
  </si>
  <si>
    <t>PISERA(Tiriac)</t>
  </si>
  <si>
    <t>NAJORONIAINA</t>
  </si>
  <si>
    <t>Rolland Jhonny</t>
  </si>
  <si>
    <t>Lot IA 7 Arivonimamy</t>
  </si>
  <si>
    <t>/0345823408</t>
  </si>
  <si>
    <t>RANDRIAMPARANY</t>
  </si>
  <si>
    <t>Zo Safidy Tsilavina</t>
  </si>
  <si>
    <t>Lot A 256 Andafiatsimo</t>
  </si>
  <si>
    <t>/0342051359</t>
  </si>
  <si>
    <t>RAJEHARINTSIRA</t>
  </si>
  <si>
    <t>Mick Hasiniaina</t>
  </si>
  <si>
    <t>Loy G 81 Ankadiaivo</t>
  </si>
  <si>
    <t>svt 71</t>
  </si>
  <si>
    <t>Fidy Henintsoa</t>
  </si>
  <si>
    <t>Lot VS 56 ED TER Ambolokandrina</t>
  </si>
  <si>
    <t>/0347434361</t>
  </si>
  <si>
    <t>Semaine 21</t>
  </si>
  <si>
    <t>Minosoa Patrick</t>
  </si>
  <si>
    <t>Lot G 159 D Ambalavao Isotry</t>
  </si>
  <si>
    <t>/0349493565</t>
  </si>
  <si>
    <t>RATOVONANAHARY</t>
  </si>
  <si>
    <t>Anjaratiana Manona</t>
  </si>
  <si>
    <t>PRES Lot II A 28 TER Amboditsiry</t>
  </si>
  <si>
    <t>/0329800104</t>
  </si>
  <si>
    <t>RANDRIAMBOLOLONA</t>
  </si>
  <si>
    <t>Arsène</t>
  </si>
  <si>
    <t>Lot III X 118 Bis D ANDAVAMAMBA ANATIHAZO II</t>
  </si>
  <si>
    <t>RAFALIHERISON</t>
  </si>
  <si>
    <t>Andriamihaingoarimanana</t>
  </si>
  <si>
    <t>Lot IVI 58 Mandialaza</t>
  </si>
  <si>
    <t>/0331280163</t>
  </si>
  <si>
    <t xml:space="preserve">RATSIMBAZAFY </t>
  </si>
  <si>
    <t>Maminiaina Eric</t>
  </si>
  <si>
    <t>288 F 27 Angodongodona Ambohidratrimo</t>
  </si>
  <si>
    <t>/0336153398</t>
  </si>
  <si>
    <t>Rija Mandimby</t>
  </si>
  <si>
    <t>Logement 77 Beryl roseparcelle 13/63 Tamatave</t>
  </si>
  <si>
    <t>/0323783518</t>
  </si>
  <si>
    <t>RATANDRAHARIMAHEFA</t>
  </si>
  <si>
    <t>Riantsoa</t>
  </si>
  <si>
    <t>Lot AB 314 Bis B Avaratetezana</t>
  </si>
  <si>
    <t>/0341873210</t>
  </si>
  <si>
    <t>Gilbert</t>
  </si>
  <si>
    <t>Antanety IPT 99</t>
  </si>
  <si>
    <t>/0330561425</t>
  </si>
  <si>
    <t>RAJAONASY</t>
  </si>
  <si>
    <t xml:space="preserve">Tojoniaina </t>
  </si>
  <si>
    <t>Sab/Nam</t>
  </si>
  <si>
    <t>/0343114122</t>
  </si>
  <si>
    <t>RAJOELINA</t>
  </si>
  <si>
    <t>Dany Hariniaina</t>
  </si>
  <si>
    <t>Lot 146 FM Ter MORONDAVA</t>
  </si>
  <si>
    <t>/0342533115</t>
  </si>
  <si>
    <t>Celestin</t>
  </si>
  <si>
    <t>Lot PN 49 Est- Mahazoarivo</t>
  </si>
  <si>
    <t>/0330909241</t>
  </si>
  <si>
    <t>RANDRIANIMANANA</t>
  </si>
  <si>
    <t>Rija Honoré</t>
  </si>
  <si>
    <t>Lot IVI 52 Bis Ambodivona</t>
  </si>
  <si>
    <t>/0320703443</t>
  </si>
  <si>
    <t>ANDRIAMBININTSOA</t>
  </si>
  <si>
    <t>Miora Mamisoa</t>
  </si>
  <si>
    <t>svt 98</t>
  </si>
  <si>
    <t>Acheteur extérieur: Vendu par RATOJOSOA Gazela</t>
  </si>
  <si>
    <t>VOCA</t>
  </si>
  <si>
    <t>Livano Ersino</t>
  </si>
  <si>
    <t>Lot II N 22 CA  Analamahitsy</t>
  </si>
  <si>
    <t>/0341897663</t>
  </si>
  <si>
    <t>RAKOTONARIVO</t>
  </si>
  <si>
    <t>Herinjatovo</t>
  </si>
  <si>
    <t>SADABE</t>
  </si>
  <si>
    <t>/0327231987</t>
  </si>
  <si>
    <t>roulement 6204</t>
  </si>
  <si>
    <t>roulement 6202</t>
  </si>
  <si>
    <t xml:space="preserve">Chaine </t>
  </si>
  <si>
    <t>CDI</t>
  </si>
  <si>
    <t xml:space="preserve">pompe </t>
  </si>
  <si>
    <t>Tendeur</t>
  </si>
  <si>
    <t>RANDRIAMASY</t>
  </si>
  <si>
    <t>Imanoela</t>
  </si>
  <si>
    <t>Logt 138 cité Mandroseza</t>
  </si>
  <si>
    <t>/0331202002</t>
  </si>
  <si>
    <t>Semaine 22</t>
  </si>
  <si>
    <t>RANDRIANARIMANANA</t>
  </si>
  <si>
    <t>Nangolanjara</t>
  </si>
  <si>
    <t>Lot CF 123 Ambodiafomtsy</t>
  </si>
  <si>
    <t>RALISON</t>
  </si>
  <si>
    <t>Rabefarihy Jean Yves Sitraka</t>
  </si>
  <si>
    <t>Lot II B 102B Amboditsiry</t>
  </si>
  <si>
    <t>/0344056177</t>
  </si>
  <si>
    <t>RANDRINARITINA</t>
  </si>
  <si>
    <t>Zara Zo Jenny</t>
  </si>
  <si>
    <t>Lot AB H Bis ikanja Ambovokely</t>
  </si>
  <si>
    <t>Acheteur extérieur: Vendu par RANDRIATAHIANA Jean de Dieu</t>
  </si>
  <si>
    <t>svt 104</t>
  </si>
  <si>
    <t>RAHERIARISON</t>
  </si>
  <si>
    <t>Aina Laza Mendrika</t>
  </si>
  <si>
    <t>Lot II P 125 Avaradoha</t>
  </si>
  <si>
    <t>/0343303088</t>
  </si>
  <si>
    <t>E395E-211761</t>
  </si>
  <si>
    <t>RAVELOMANANTSOA</t>
  </si>
  <si>
    <t>Andoniaina Mahefasoa</t>
  </si>
  <si>
    <t>IPA 155 Ter Ambohikely Anosimasina</t>
  </si>
  <si>
    <t>/0338169128</t>
  </si>
  <si>
    <t>svt 218</t>
  </si>
  <si>
    <t>svt 109</t>
  </si>
  <si>
    <t>Acheteur extérieur: Vendu par RAVELONIRINA AH WENG Francis Mathieu</t>
  </si>
  <si>
    <t>RANDRIAMIZAKA</t>
  </si>
  <si>
    <t>José Christian</t>
  </si>
  <si>
    <t>164 Cité Ambohipo</t>
  </si>
  <si>
    <t>RASOLOFOHERY</t>
  </si>
  <si>
    <t>Alain Michel</t>
  </si>
  <si>
    <t>Lot IVN 33 Ter Ankasina</t>
  </si>
  <si>
    <t>/0340561398</t>
  </si>
  <si>
    <t>KYMCO JR</t>
  </si>
  <si>
    <t>SG20KA-233628</t>
  </si>
  <si>
    <t>Semaine 23</t>
  </si>
  <si>
    <t>RAVOLO</t>
  </si>
  <si>
    <t>Niaina Solofo Dieu Donné</t>
  </si>
  <si>
    <t>Lot II G 15 ADB Ambatomaro</t>
  </si>
  <si>
    <t>/0332423039</t>
  </si>
  <si>
    <t>svt 83</t>
  </si>
  <si>
    <t>Acheteur extérieur: Vendu par ANDRIAMAHEFASON Antsa Harimbola</t>
  </si>
  <si>
    <t>RAZAFINDRAZAKA</t>
  </si>
  <si>
    <t>Jean Claude</t>
  </si>
  <si>
    <t>Lot IVY 21 Ter D Anosipatrana</t>
  </si>
  <si>
    <t>/0331526887</t>
  </si>
  <si>
    <t>TSITOHAINA ANDRIAMAMPANDRY</t>
  </si>
  <si>
    <t>Lot II N 76 J Analamahitsy</t>
  </si>
  <si>
    <t>/0341293920</t>
  </si>
  <si>
    <t>svt 116</t>
  </si>
  <si>
    <t>Acheteur extérieur: Vendu par RASOLOFOMANANA Nantenaina Andry Hery</t>
  </si>
  <si>
    <t>RAOELIARIJAONA</t>
  </si>
  <si>
    <t>Heriaja</t>
  </si>
  <si>
    <t>Lot EB 38 Ankorondrano</t>
  </si>
  <si>
    <t>/0327728105</t>
  </si>
  <si>
    <t>RASOLOFOARISON</t>
  </si>
  <si>
    <t xml:space="preserve">Harinaivo Florent </t>
  </si>
  <si>
    <t>Andriapamaky</t>
  </si>
  <si>
    <t>/0331461083</t>
  </si>
  <si>
    <t xml:space="preserve">ANDRIAMAHARO </t>
  </si>
  <si>
    <t>Hero</t>
  </si>
  <si>
    <t>Lot IVE 192 M Ter Ambodimita</t>
  </si>
  <si>
    <t>/0340822560</t>
  </si>
  <si>
    <t>Acheteur extérieur: Vendu par RAKOTOMAMONJY Toojanahary Andry Fortunat</t>
  </si>
  <si>
    <t>svt 102</t>
  </si>
  <si>
    <t>RAZAFIMANANTSOA</t>
  </si>
  <si>
    <t xml:space="preserve">Setra Alexandre </t>
  </si>
  <si>
    <t>Lot 230 Pe 11e/31/13 Ambodimanga</t>
  </si>
  <si>
    <t>/0342291111</t>
  </si>
  <si>
    <t>GBP07520</t>
  </si>
  <si>
    <t>Semaine 24</t>
  </si>
  <si>
    <t>SE25AA-</t>
  </si>
  <si>
    <t>Semaine 25</t>
  </si>
  <si>
    <t xml:space="preserve">    </t>
  </si>
  <si>
    <t>RAKOTOZAFY</t>
  </si>
  <si>
    <t>Mahazosoa Josia</t>
  </si>
  <si>
    <t>Lot I 138 Bis Mahitsy Alasora</t>
  </si>
  <si>
    <t>/0343690078</t>
  </si>
  <si>
    <t>SD25UA-128046</t>
  </si>
  <si>
    <t>RATELOLAHY</t>
  </si>
  <si>
    <t>Jules Martial</t>
  </si>
  <si>
    <t>II D 57 FC Manjakaray</t>
  </si>
  <si>
    <t>/0343987188</t>
  </si>
  <si>
    <t>YAMAHA GLIDE</t>
  </si>
  <si>
    <t>5CP405437</t>
  </si>
  <si>
    <t>Alexandre Sitrakiniaina</t>
  </si>
  <si>
    <t>Lot 27 MT Anosiavaratra</t>
  </si>
  <si>
    <t>/0341434962</t>
  </si>
  <si>
    <t>4KX-134645</t>
  </si>
  <si>
    <t>RASAMIVELO</t>
  </si>
  <si>
    <t>Mienjevalimanga</t>
  </si>
  <si>
    <t>48 D Ambonilaoka Talatamaty</t>
  </si>
  <si>
    <t>/0345573359</t>
  </si>
  <si>
    <t>/0346066535</t>
  </si>
  <si>
    <t>svt 124</t>
  </si>
  <si>
    <t>RABEHARIMANANA</t>
  </si>
  <si>
    <t>Ando Heritiana</t>
  </si>
  <si>
    <t>Ambohijatovo I J 139 Bis</t>
  </si>
  <si>
    <t>/0345888923</t>
  </si>
  <si>
    <t>RAKOTONIRAINY</t>
  </si>
  <si>
    <t>Andry Mampionina</t>
  </si>
  <si>
    <t>Mandrangobato II III T 120 D Bis</t>
  </si>
  <si>
    <t>svt 23</t>
  </si>
  <si>
    <t>Acheteur extérieur: Vendu par Faniry Jonathan</t>
  </si>
  <si>
    <t>RASOLOFOMAHATRATRA</t>
  </si>
  <si>
    <t>Nantenaina Henitsoa</t>
  </si>
  <si>
    <t>SIII 122 Ambihivy</t>
  </si>
  <si>
    <t>svt 42</t>
  </si>
  <si>
    <t>Tamby Nekena</t>
  </si>
  <si>
    <t>/0344144846</t>
  </si>
  <si>
    <t>Acheteur extérieur: vendu par RANDRIAMASY Imanoela</t>
  </si>
  <si>
    <t xml:space="preserve">ANDRIAMALALA </t>
  </si>
  <si>
    <t>Nirina Tahirison</t>
  </si>
  <si>
    <t>133 A Bis Ambohijanahary</t>
  </si>
  <si>
    <t>/0344140668</t>
  </si>
  <si>
    <t>ANDRIAMIZAKA</t>
  </si>
  <si>
    <t>Tsiory Mbolatianarivelo</t>
  </si>
  <si>
    <t>VF 114 Bis Antsahabe</t>
  </si>
  <si>
    <t>/0331122061</t>
  </si>
  <si>
    <t>RATSITOARIVONJY</t>
  </si>
  <si>
    <t>Tovo Mihary</t>
  </si>
  <si>
    <t>Lot II T 177 A Ampandrana Est</t>
  </si>
  <si>
    <t>/0345094273</t>
  </si>
  <si>
    <t>SD25UC-302515</t>
  </si>
  <si>
    <t>Semaine 26</t>
  </si>
  <si>
    <t>Semaine 27</t>
  </si>
  <si>
    <t>svt Fac (092)</t>
  </si>
  <si>
    <t>ANDRIANARISOA</t>
  </si>
  <si>
    <t>Rivo Ramaroseranina</t>
  </si>
  <si>
    <t>Lot IVB 103 Andravoahangy Andrefana</t>
  </si>
  <si>
    <t>/0340194726 /0331332926</t>
  </si>
  <si>
    <t>SD25UC-105615</t>
  </si>
  <si>
    <t xml:space="preserve">RAMAROLAHY </t>
  </si>
  <si>
    <t>Fanomezana Viola</t>
  </si>
  <si>
    <t>Lot Gi 83 Bis Soamanandrariny</t>
  </si>
  <si>
    <t>/0322193061</t>
  </si>
  <si>
    <t xml:space="preserve">KYMCO G5 MEGAFI </t>
  </si>
  <si>
    <t>svt Fac 241</t>
  </si>
  <si>
    <t xml:space="preserve">RAZAFIMANANTSOA </t>
  </si>
  <si>
    <t>Fabiannie Josia</t>
  </si>
  <si>
    <t>Lot TS 28 Tsarahonenana Ivoanjo</t>
  </si>
  <si>
    <t>/0348214478</t>
  </si>
  <si>
    <t>4UF-038869</t>
  </si>
  <si>
    <t>255'</t>
  </si>
  <si>
    <t>svt BL 94</t>
  </si>
  <si>
    <t xml:space="preserve">RAJAONARIVONY </t>
  </si>
  <si>
    <t>Andrianiaina Justin Fanomezana</t>
  </si>
  <si>
    <t>69 DA Mandrosoa</t>
  </si>
  <si>
    <t>/0349865272</t>
  </si>
  <si>
    <t>ORION</t>
  </si>
  <si>
    <t>L08YGJEG6B1012039-- BM080665</t>
  </si>
  <si>
    <t>Cousin Tiriac</t>
  </si>
  <si>
    <t xml:space="preserve">RAKOTONIAINA </t>
  </si>
  <si>
    <t>Lucas</t>
  </si>
  <si>
    <t>Lot IPB 44 Ambonisoa Bemasoandro</t>
  </si>
  <si>
    <t>/0325027874</t>
  </si>
  <si>
    <t>bl 125</t>
  </si>
  <si>
    <t xml:space="preserve">RAKOTOZAFY </t>
  </si>
  <si>
    <t>Yves Hajatiana</t>
  </si>
  <si>
    <t>IV J 50 E Ambilanibe</t>
  </si>
  <si>
    <t>/0346497002</t>
  </si>
  <si>
    <t>PG0 Tigra</t>
  </si>
  <si>
    <t>A1F-02295</t>
  </si>
  <si>
    <t>B.L 127</t>
  </si>
  <si>
    <t xml:space="preserve">RASOLONOELINA </t>
  </si>
  <si>
    <t>Hery Andrianaly</t>
  </si>
  <si>
    <t>7 B f Bis Ambohidroa</t>
  </si>
  <si>
    <t>/0348467304</t>
  </si>
  <si>
    <t xml:space="preserve">KYMCO RACING KING </t>
  </si>
  <si>
    <t>B.L 128</t>
  </si>
  <si>
    <t>RATSIRAVAINARIVONY</t>
  </si>
  <si>
    <t>B. Ghislanie Nancyah</t>
  </si>
  <si>
    <t>Mangarivotra - Manakara</t>
  </si>
  <si>
    <t>/0346017427</t>
  </si>
  <si>
    <t>256'</t>
  </si>
  <si>
    <t>Fenosoa Hery Manitra</t>
  </si>
  <si>
    <t>IVZ 135 Andohotapenaka</t>
  </si>
  <si>
    <t>/0340510501</t>
  </si>
  <si>
    <t xml:space="preserve">AEON OZ </t>
  </si>
  <si>
    <t>TR30R001995</t>
  </si>
  <si>
    <t>_</t>
  </si>
  <si>
    <t>SE25AA-137440</t>
  </si>
  <si>
    <t>Semaine 28</t>
  </si>
  <si>
    <t>Vendu par : Faniry Jonathan</t>
  </si>
  <si>
    <t>Richard Dauphin</t>
  </si>
  <si>
    <t>Mahafasa Sud</t>
  </si>
  <si>
    <t>/0341805335</t>
  </si>
  <si>
    <t>Vendu par: NAJORONIAINA Rolland Jhonny</t>
  </si>
  <si>
    <t>SVT BL 106</t>
  </si>
  <si>
    <t xml:space="preserve">SOLOFONIAINA </t>
  </si>
  <si>
    <t xml:space="preserve">Zo Herimampionona </t>
  </si>
  <si>
    <t>IVL 245 Anosivavaka</t>
  </si>
  <si>
    <t>/0345673427</t>
  </si>
  <si>
    <t>YAMAHA JOG Pro</t>
  </si>
  <si>
    <t>4DM-041450</t>
  </si>
  <si>
    <t>NJARATIANA</t>
  </si>
  <si>
    <t>Tsiriniaina Rolland</t>
  </si>
  <si>
    <t xml:space="preserve">Avaratanana FKT Tsarahasina </t>
  </si>
  <si>
    <t>Vendu par : Tiana Jacky Familie Leon</t>
  </si>
  <si>
    <t>svt B.L 64</t>
  </si>
  <si>
    <t>Semaine 29</t>
  </si>
  <si>
    <t>RABEARIVELO</t>
  </si>
  <si>
    <t>Haingotiana Sylvia</t>
  </si>
  <si>
    <t>Lot 470 cité Ambodinisotry</t>
  </si>
  <si>
    <t>/0344819981</t>
  </si>
  <si>
    <t>SE25AA-138289</t>
  </si>
  <si>
    <t>SR30BB-206539</t>
  </si>
  <si>
    <t>SE30AA-102181</t>
  </si>
  <si>
    <t>Semaine 30</t>
  </si>
  <si>
    <t>RAVOVALISOA</t>
  </si>
  <si>
    <t>Maheriavo Miray</t>
  </si>
  <si>
    <t>Ambataria Fenerive Est</t>
  </si>
  <si>
    <t>/0345486947</t>
  </si>
  <si>
    <t>Kymco RACING</t>
  </si>
  <si>
    <t>B.L 134</t>
  </si>
  <si>
    <t>SE25AA-127662</t>
  </si>
  <si>
    <t xml:space="preserve">RAFIDIMANANTSOA </t>
  </si>
  <si>
    <t>Hery Nirina Eugène</t>
  </si>
  <si>
    <t>Lot VS 12 Antanetikely</t>
  </si>
  <si>
    <t>/0349531398</t>
  </si>
  <si>
    <t>svt BL 127</t>
  </si>
  <si>
    <t>RADAFIARIMBOLOLONA</t>
  </si>
  <si>
    <t>Andoniaina Hezekia</t>
  </si>
  <si>
    <t>Lot IVX 5 Ankazomanga Sud</t>
  </si>
  <si>
    <t>/0346011580</t>
  </si>
  <si>
    <t>ito ilay mpandoko</t>
  </si>
  <si>
    <t>SVT f 242</t>
  </si>
  <si>
    <t>SE25AA-127053</t>
  </si>
  <si>
    <t>RANDRIANASOLO</t>
  </si>
  <si>
    <t>Falusa Fernand</t>
  </si>
  <si>
    <t>IPT 07 Antanety</t>
  </si>
  <si>
    <t>/0349031829</t>
  </si>
  <si>
    <t>Lot II L Bazar Fenerive Est</t>
  </si>
  <si>
    <t>SE25 1000717</t>
  </si>
  <si>
    <t>bl 138</t>
  </si>
  <si>
    <t>Semaine 31</t>
  </si>
  <si>
    <t xml:space="preserve">RANIVO </t>
  </si>
  <si>
    <t>Andriamasinavalona Tsiory Solofohery</t>
  </si>
  <si>
    <t>Lot II F 81 Ter BRE Andraisoro</t>
  </si>
  <si>
    <t>/0330722032</t>
  </si>
  <si>
    <t>Heriniaina Olivier</t>
  </si>
  <si>
    <t>Lot IJ 346 Anbavahaditokana</t>
  </si>
  <si>
    <t>/0347526512</t>
  </si>
  <si>
    <t>vendu par : RANDRIANANTENAINA Jean Gino</t>
  </si>
  <si>
    <t xml:space="preserve">RAMIHARISON </t>
  </si>
  <si>
    <t>AKM II 19 Bis Ambohimasina</t>
  </si>
  <si>
    <t>/0324333769</t>
  </si>
  <si>
    <t>vendu par : RAFANOMEZANTSOA Heriniaina Mickael</t>
  </si>
  <si>
    <t xml:space="preserve">Kymco Racing </t>
  </si>
  <si>
    <t xml:space="preserve">RAZAIARISOA </t>
  </si>
  <si>
    <t xml:space="preserve">Delphine Melina </t>
  </si>
  <si>
    <t>III I 39 Soanierana</t>
  </si>
  <si>
    <t>SE25*1100172*</t>
  </si>
  <si>
    <t>RABENANDRASANA</t>
  </si>
  <si>
    <t xml:space="preserve">Sitraka Hajatiana Ninon </t>
  </si>
  <si>
    <t>III KJ 2I Bis Ankaditoho Marohoho</t>
  </si>
  <si>
    <t>/0331960478</t>
  </si>
  <si>
    <t>SR30BB-260808</t>
  </si>
  <si>
    <t>RANDRIAHOLISON</t>
  </si>
  <si>
    <t>Fidisoa</t>
  </si>
  <si>
    <t>KAMANJA - Anjozorobe</t>
  </si>
  <si>
    <t>/0340550006</t>
  </si>
  <si>
    <t>5SK229897</t>
  </si>
  <si>
    <t>SR30AC-201868</t>
  </si>
  <si>
    <t>SE25AA-107709</t>
  </si>
  <si>
    <t>SR30AC-202487</t>
  </si>
  <si>
    <t>SR30AC-100257</t>
  </si>
  <si>
    <t>SE30BB-102202</t>
  </si>
  <si>
    <t>SE25AA-126120</t>
  </si>
  <si>
    <t>SE25AA-110415</t>
  </si>
  <si>
    <t>SR30BB-219141</t>
  </si>
  <si>
    <t>SE25AA-145898</t>
  </si>
  <si>
    <t>SE25AA-105513</t>
  </si>
  <si>
    <t>SR30BB-266615</t>
  </si>
  <si>
    <t>SE30BA-100480</t>
  </si>
  <si>
    <t>SR30BB-219697</t>
  </si>
  <si>
    <t>SR30BB-221171</t>
  </si>
  <si>
    <t>SE25AA-101396</t>
  </si>
  <si>
    <t>SR30BB-249646</t>
  </si>
  <si>
    <t>SR25AA-203078</t>
  </si>
  <si>
    <t>SR30BB-236631R</t>
  </si>
  <si>
    <t>SR25AA-200691</t>
  </si>
  <si>
    <t>SE25AA-103978</t>
  </si>
  <si>
    <t>SR30BB-312376</t>
  </si>
  <si>
    <t>SE25AA-100940</t>
  </si>
  <si>
    <t>SR30BB-216255</t>
  </si>
  <si>
    <t>SE25AA-142147</t>
  </si>
  <si>
    <t>SR30BB-104656</t>
  </si>
  <si>
    <t>SE25AA-113000</t>
  </si>
  <si>
    <t>SR25AA-201653</t>
  </si>
  <si>
    <t>SR30BB-209025</t>
  </si>
  <si>
    <t>SE30BB-101048</t>
  </si>
  <si>
    <t>SR30BB-233217</t>
  </si>
  <si>
    <t>Semaine 32</t>
  </si>
  <si>
    <t>Semaine 33</t>
  </si>
  <si>
    <t>KYMCO G5 (Old)</t>
  </si>
  <si>
    <t>Ranto Nambinina</t>
  </si>
  <si>
    <t>03 681 D Soaniadanana Sab Nam</t>
  </si>
  <si>
    <t>/0344351476</t>
  </si>
  <si>
    <t>5SK-321866</t>
  </si>
  <si>
    <t xml:space="preserve">RASOLONIAINA </t>
  </si>
  <si>
    <t>ANDRITAFIKA</t>
  </si>
  <si>
    <t>Jocelyn Mamy</t>
  </si>
  <si>
    <t>Lot ATO 006 Bis Ambatomainty Ambotrimanjaka</t>
  </si>
  <si>
    <t>/0331409900</t>
  </si>
  <si>
    <t>Hariniainanekena Mamimampionona</t>
  </si>
  <si>
    <t>Lot AN 10/3609 Amboloboka Fianarantsoa</t>
  </si>
  <si>
    <t>/0345466705</t>
  </si>
  <si>
    <t xml:space="preserve">RANDRIANIRINA </t>
  </si>
  <si>
    <t xml:space="preserve">Volahanitriniaina </t>
  </si>
  <si>
    <t>2ak 20 Ankadinakanga - Tsiroanomandidy</t>
  </si>
  <si>
    <t>/0329605876</t>
  </si>
  <si>
    <t>YAMAHA CUXI</t>
  </si>
  <si>
    <t>E390E-388275</t>
  </si>
  <si>
    <t>ANDRIANJAFINDRASETRA</t>
  </si>
  <si>
    <t>Salomon Vatoaina</t>
  </si>
  <si>
    <t>AD 14 Bis Antombontany Ankadikely Ilafy</t>
  </si>
  <si>
    <t>/0341021034</t>
  </si>
  <si>
    <t xml:space="preserve">ANDRIANAHARINJATOVO </t>
  </si>
  <si>
    <t>Ianjavololona Mioratina</t>
  </si>
  <si>
    <t>Lot A57 Ter Manarintsoa Afovoany</t>
  </si>
  <si>
    <t>/0348225444</t>
  </si>
  <si>
    <t xml:space="preserve">RAVELONANDRONIRINA </t>
  </si>
  <si>
    <t>Janny Michela</t>
  </si>
  <si>
    <t>Lot ED 45 Antsahatsiresy Sab Nam</t>
  </si>
  <si>
    <t>/0325602723</t>
  </si>
  <si>
    <t>LETSINIAVA</t>
  </si>
  <si>
    <t>Solofonirina</t>
  </si>
  <si>
    <t>Lot II B 56 Amboditsiry</t>
  </si>
  <si>
    <t>/0340525401</t>
  </si>
  <si>
    <t>RABAKOMALALA</t>
  </si>
  <si>
    <t xml:space="preserve">Odette </t>
  </si>
  <si>
    <t>Ambohimanatrika - Ambohimahasoa</t>
  </si>
  <si>
    <t>/0340290868</t>
  </si>
  <si>
    <t xml:space="preserve">ANDRIANIRINA </t>
  </si>
  <si>
    <t xml:space="preserve">Rija Herinjara </t>
  </si>
  <si>
    <t>Lot III A 541 FKT Tsarafiraisana</t>
  </si>
  <si>
    <t>/0325192818</t>
  </si>
  <si>
    <t>2M Manjaka Ilafy</t>
  </si>
  <si>
    <t>Jessy Andrianina</t>
  </si>
  <si>
    <t>Lot C54 Akany Sambatra</t>
  </si>
  <si>
    <t>/0332926815</t>
  </si>
  <si>
    <t>ANDRIANJATOVO</t>
  </si>
  <si>
    <t>Veloson Luc</t>
  </si>
  <si>
    <t>Lot II B 96 B Ambatomainty</t>
  </si>
  <si>
    <t>/0338013928</t>
  </si>
  <si>
    <t xml:space="preserve">YAMAHA BWS </t>
  </si>
  <si>
    <t>4UP-112303</t>
  </si>
  <si>
    <t>Fenoravaka Manitra</t>
  </si>
  <si>
    <t>II E 69 JC Tsarahonenana</t>
  </si>
  <si>
    <t>/0343610570</t>
  </si>
  <si>
    <t>ANDRIAMIHAJARIVONY</t>
  </si>
  <si>
    <t>Tsirinaina Edmilius</t>
  </si>
  <si>
    <t>VA 32 L6B Tsiadana</t>
  </si>
  <si>
    <t>/0343828894</t>
  </si>
  <si>
    <t xml:space="preserve">ANDRIANJANAHARY </t>
  </si>
  <si>
    <t>Honoré Jocelyn Marie</t>
  </si>
  <si>
    <t>Lot BI 135 Belambanana Tana 102</t>
  </si>
  <si>
    <t>/03307138 72</t>
  </si>
  <si>
    <t>Honda MSX</t>
  </si>
  <si>
    <t>C618E-0248871</t>
  </si>
  <si>
    <t>MAHEFASANDRATANA</t>
  </si>
  <si>
    <t>Raharinjatovo Zo Tsiresy</t>
  </si>
  <si>
    <t xml:space="preserve">Lot III T 57 B Mandrangobato I </t>
  </si>
  <si>
    <t>/0344082030</t>
  </si>
  <si>
    <t xml:space="preserve">ANDRIANANTENAINA </t>
  </si>
  <si>
    <t>Tsiry Lucas</t>
  </si>
  <si>
    <t>Lot 22 TB Talatamaty</t>
  </si>
  <si>
    <t>/0326070918</t>
  </si>
  <si>
    <t xml:space="preserve">RATOVONIAINA </t>
  </si>
  <si>
    <t xml:space="preserve">Rijamalala Mamitiana </t>
  </si>
  <si>
    <t xml:space="preserve">II E 51 DA Ampanotokana Tana V </t>
  </si>
  <si>
    <t>/0343632070</t>
  </si>
  <si>
    <t xml:space="preserve">RANOMENJANAHARY </t>
  </si>
  <si>
    <t xml:space="preserve">Rijatiana </t>
  </si>
  <si>
    <t>Ankofafalahy - Fianaranatsoa</t>
  </si>
  <si>
    <t>/0342055230</t>
  </si>
  <si>
    <t>E394E-44290</t>
  </si>
  <si>
    <t xml:space="preserve">RANDRIATSIFERANA </t>
  </si>
  <si>
    <t>Philippson</t>
  </si>
  <si>
    <t>VV - 197 A Manakambahiny</t>
  </si>
  <si>
    <t>/0344505721</t>
  </si>
  <si>
    <t xml:space="preserve">RALAMBOZANANAY </t>
  </si>
  <si>
    <t xml:space="preserve">Raoul Voninahitra </t>
  </si>
  <si>
    <t>Lot 0114 A 70 Fkt- Atsimontsena</t>
  </si>
  <si>
    <t>/0348048129</t>
  </si>
  <si>
    <t>SVT 281 (F)</t>
  </si>
  <si>
    <t>BOUENI</t>
  </si>
  <si>
    <t>Heritiana Jacky</t>
  </si>
  <si>
    <t>Lot BA 165 Ter Angona Ampitatafika</t>
  </si>
  <si>
    <t>/0345501469</t>
  </si>
  <si>
    <t>SAHARAH</t>
  </si>
  <si>
    <t>Léa Sylvie</t>
  </si>
  <si>
    <t>IVH 71 Ambodivona</t>
  </si>
  <si>
    <t>/0340696601</t>
  </si>
  <si>
    <t>Solohery</t>
  </si>
  <si>
    <t>Lot IVB I Andravoahangy - Andrefana</t>
  </si>
  <si>
    <t>/0331473000</t>
  </si>
  <si>
    <t>Lot IVI 58 Mandilaza - Ambodivona</t>
  </si>
  <si>
    <t xml:space="preserve">RAKOTOARISON </t>
  </si>
  <si>
    <t>Maminirina</t>
  </si>
  <si>
    <t>IVD 39 Bis Antanety Atsino</t>
  </si>
  <si>
    <t>/0337244526- 0340030487</t>
  </si>
  <si>
    <t>RANDRIAMIARANJATOVO</t>
  </si>
  <si>
    <t>Sitraka Fabrice Alberto</t>
  </si>
  <si>
    <t>Lot AB 68 Ambovokely Ikianja</t>
  </si>
  <si>
    <t>b.L 142</t>
  </si>
  <si>
    <t>IVI 123 Ankorondrano</t>
  </si>
  <si>
    <t>B.L 143</t>
  </si>
  <si>
    <t>Andry  (scootart)</t>
  </si>
  <si>
    <t>B.L 144</t>
  </si>
  <si>
    <t>RANDRIANARIVONY</t>
  </si>
  <si>
    <t>II N 9 7 Bis Ambatobe</t>
  </si>
  <si>
    <t>/0347553186</t>
  </si>
  <si>
    <t>B.L 145</t>
  </si>
  <si>
    <t>Jean Edouard</t>
  </si>
  <si>
    <t>Analakely - Morarano</t>
  </si>
  <si>
    <t>/0344867810</t>
  </si>
  <si>
    <t>B.L 146</t>
  </si>
  <si>
    <t xml:space="preserve">RANDRIAMANISISOA </t>
  </si>
  <si>
    <t xml:space="preserve">Heriniaina Jean Claude </t>
  </si>
  <si>
    <t>AZ 112 KIII Ankazotoho - Anosizato Ouest</t>
  </si>
  <si>
    <t>/0344292947</t>
  </si>
  <si>
    <t>B.L 147</t>
  </si>
  <si>
    <t xml:space="preserve">KYMO RACING </t>
  </si>
  <si>
    <t>B.L 148</t>
  </si>
  <si>
    <t xml:space="preserve">RAHASIMIHAJA </t>
  </si>
  <si>
    <t xml:space="preserve">Mandaniaina Cyrille </t>
  </si>
  <si>
    <t xml:space="preserve">III D 47 ter Morafeno - Sud </t>
  </si>
  <si>
    <t>/0348931438</t>
  </si>
  <si>
    <t xml:space="preserve">Zakarimanana Herilala </t>
  </si>
  <si>
    <t>RAVELOMAHARAVO</t>
  </si>
  <si>
    <t>Ambodimadiro - Maevatanana</t>
  </si>
  <si>
    <t>/0332980000</t>
  </si>
  <si>
    <t xml:space="preserve">RAMANANTSOA </t>
  </si>
  <si>
    <t xml:space="preserve">Jacky Rolland </t>
  </si>
  <si>
    <t>H 010 A Bis Imerimanjaka _ Ambo/janaka</t>
  </si>
  <si>
    <t>/0332953740</t>
  </si>
  <si>
    <t>Semaine 34</t>
  </si>
  <si>
    <t>SE30AB-100268</t>
  </si>
  <si>
    <t>SE25AD-101476</t>
  </si>
  <si>
    <t xml:space="preserve">KYMCO RACNG </t>
  </si>
  <si>
    <t>SR30BB-401237</t>
  </si>
  <si>
    <t>SR30BB-229452</t>
  </si>
  <si>
    <t>SR30AC-203345</t>
  </si>
  <si>
    <t>SR30BB-220652</t>
  </si>
  <si>
    <t>SE30BB-102687</t>
  </si>
  <si>
    <t>SR30BB-214229</t>
  </si>
  <si>
    <t>SR30BB-262178</t>
  </si>
  <si>
    <t>SE25AA-111401</t>
  </si>
  <si>
    <t>SE25AA-139100</t>
  </si>
  <si>
    <t>SE25AA-131555</t>
  </si>
  <si>
    <t>SR30BB-238190</t>
  </si>
  <si>
    <t>SR25BA-204561</t>
  </si>
  <si>
    <t>SE30BB-102322</t>
  </si>
  <si>
    <t>SR30AC-100970</t>
  </si>
  <si>
    <t>SR25AD-203290</t>
  </si>
  <si>
    <t>SR30BB-225018</t>
  </si>
  <si>
    <t>SR30BB-212291</t>
  </si>
  <si>
    <t>SR30BB-231229</t>
  </si>
  <si>
    <t>SE25AA-101509</t>
  </si>
  <si>
    <t>SR30BB-218073</t>
  </si>
  <si>
    <t>SE25AA-126760</t>
  </si>
  <si>
    <t>SE30BB-105458</t>
  </si>
  <si>
    <t xml:space="preserve"> N° Moto</t>
  </si>
  <si>
    <t>N° Facture</t>
  </si>
  <si>
    <t>N°B.L</t>
  </si>
  <si>
    <t>Type</t>
  </si>
  <si>
    <t>303' - 306</t>
  </si>
  <si>
    <t xml:space="preserve">RANDRIAMBOLOLONA </t>
  </si>
  <si>
    <t xml:space="preserve">Lot 111 X 188 Bis Andavamamba </t>
  </si>
  <si>
    <t>/0346409889</t>
  </si>
  <si>
    <t>B.L 149</t>
  </si>
  <si>
    <t xml:space="preserve">RANTOANIAINA </t>
  </si>
  <si>
    <t xml:space="preserve">Lucas </t>
  </si>
  <si>
    <t>101231140671</t>
  </si>
  <si>
    <t>Zaza Rochel</t>
  </si>
  <si>
    <t xml:space="preserve">Lot II 622 Hangar Antohomadinika </t>
  </si>
  <si>
    <t>/0331447884</t>
  </si>
  <si>
    <t>Sariaka tahiry</t>
  </si>
  <si>
    <t>Lot CF 152 Bis Ambodiafontsy</t>
  </si>
  <si>
    <t>/0343862036</t>
  </si>
  <si>
    <t xml:space="preserve">RAKOTONDRAZAKA </t>
  </si>
  <si>
    <t>Rudy</t>
  </si>
  <si>
    <t>Lot II A 135 Ampandrana Andrefana</t>
  </si>
  <si>
    <t>/0346543889</t>
  </si>
  <si>
    <t xml:space="preserve">ANDRIANANTOANINA </t>
  </si>
  <si>
    <t>Zohery Rija M</t>
  </si>
  <si>
    <t xml:space="preserve">Lot A 11 Cité Itaosy  </t>
  </si>
  <si>
    <t>/0346734743</t>
  </si>
  <si>
    <t xml:space="preserve">RANAISON </t>
  </si>
  <si>
    <t>Fidiarifara Victor</t>
  </si>
  <si>
    <t xml:space="preserve">II N 189 MB Besarety </t>
  </si>
  <si>
    <t>/0345160186</t>
  </si>
  <si>
    <t xml:space="preserve">RATSIMBA </t>
  </si>
  <si>
    <t>Harris Mahery</t>
  </si>
  <si>
    <t>IVP 41 Ankadifotsy Befelatanana</t>
  </si>
  <si>
    <t>/0347191201</t>
  </si>
  <si>
    <t xml:space="preserve">Manda Hery Ny Aina </t>
  </si>
  <si>
    <t>Lot BI 25 Ter Mahitsy</t>
  </si>
  <si>
    <t>/0343392934</t>
  </si>
  <si>
    <t xml:space="preserve">B.L 150 </t>
  </si>
  <si>
    <t xml:space="preserve">FENOIRINA </t>
  </si>
  <si>
    <t>Ravaka Mianotsoa</t>
  </si>
  <si>
    <t>Lot B 350 Antanihazo Isotry</t>
  </si>
  <si>
    <t>/0348486943</t>
  </si>
  <si>
    <t>B.L 151</t>
  </si>
  <si>
    <t>RAZAKAMANANTSOA</t>
  </si>
  <si>
    <t xml:space="preserve">Fanomezana Jean Christian </t>
  </si>
  <si>
    <t>Lot II R 32 Betongolo</t>
  </si>
  <si>
    <t>/0345478082</t>
  </si>
  <si>
    <t>B.L 152</t>
  </si>
  <si>
    <t>Angelo Lucky</t>
  </si>
  <si>
    <t>Lot III F 30 Antohomadinika</t>
  </si>
  <si>
    <t>/0345161000</t>
  </si>
  <si>
    <t>B.L 153</t>
  </si>
  <si>
    <t xml:space="preserve">Andosoa Richard Fabien </t>
  </si>
  <si>
    <t>Lot II T 184 CB Ampandrana EST</t>
  </si>
  <si>
    <t>/0346876936</t>
  </si>
  <si>
    <t>B.L 154</t>
  </si>
  <si>
    <t xml:space="preserve">RAKONINIDRINA </t>
  </si>
  <si>
    <t>B.L 155</t>
  </si>
  <si>
    <t>/0346052186</t>
  </si>
  <si>
    <t>B.L 156</t>
  </si>
  <si>
    <t>JAONOSY</t>
  </si>
  <si>
    <t>Michael Martini</t>
  </si>
  <si>
    <t>Lot 2 044 10 Bis Tanambao IV</t>
  </si>
  <si>
    <t>/0326734035</t>
  </si>
  <si>
    <t>Semaine 35</t>
  </si>
  <si>
    <t>B.L 157</t>
  </si>
  <si>
    <t xml:space="preserve">RASOAHARINANTENAINA </t>
  </si>
  <si>
    <t>Fanjamalala Andonirina Eliane</t>
  </si>
  <si>
    <t>IVY 33 I Bis F Anjanakinifolo</t>
  </si>
  <si>
    <t>/0343959204</t>
  </si>
  <si>
    <t xml:space="preserve">MAMINIRINA </t>
  </si>
  <si>
    <t>Razafindrakoto Ravelonandro</t>
  </si>
  <si>
    <t>Lot IAV 313 L Iavoloha</t>
  </si>
  <si>
    <t>/0345918012</t>
  </si>
  <si>
    <t>RAMANANTSIALONINA</t>
  </si>
  <si>
    <t xml:space="preserve">Tsiry Lalaina </t>
  </si>
  <si>
    <t xml:space="preserve">Lot II M 35 YAA Androhibe </t>
  </si>
  <si>
    <t>/0340016614</t>
  </si>
  <si>
    <t xml:space="preserve">RAMIANDRISOA ANDRIATSILAVINA </t>
  </si>
  <si>
    <t>Pierrot Paul</t>
  </si>
  <si>
    <t>Lot 0708 G 221 Ambohimena Sud</t>
  </si>
  <si>
    <t>/0346102799</t>
  </si>
  <si>
    <t xml:space="preserve">RANARIVOLA </t>
  </si>
  <si>
    <t>Iangotiana Mialy</t>
  </si>
  <si>
    <t xml:space="preserve">Lot 24 Ter Ankorahotra </t>
  </si>
  <si>
    <t>/0342925016</t>
  </si>
  <si>
    <t xml:space="preserve">Volonjanahary Christian </t>
  </si>
  <si>
    <t>Lot III8 G 345 Fkt Mahazoarivo Nord</t>
  </si>
  <si>
    <t>/0347160305</t>
  </si>
  <si>
    <t>NJAKARIVELO</t>
  </si>
  <si>
    <t xml:space="preserve">Tojoniaina Fabien </t>
  </si>
  <si>
    <t xml:space="preserve">II N 26 Kbis JF Analamahitsy </t>
  </si>
  <si>
    <t>/0332051105</t>
  </si>
  <si>
    <t>TELOVAVY</t>
  </si>
  <si>
    <t xml:space="preserve">Celestine </t>
  </si>
  <si>
    <t>24 F Bis P/celle 1133 Cité Haras</t>
  </si>
  <si>
    <t>/0347284863</t>
  </si>
  <si>
    <t>Semiane 36</t>
  </si>
  <si>
    <t xml:space="preserve">RAVAOSOLO </t>
  </si>
  <si>
    <t>Naliarivelo Fitiavana Claudelle</t>
  </si>
  <si>
    <t>Lot A11 akany Sambatra</t>
  </si>
  <si>
    <t>/0344688298</t>
  </si>
  <si>
    <t xml:space="preserve">RAZAFINDRAZAKA </t>
  </si>
  <si>
    <t>Rantoseheno Misal'vola</t>
  </si>
  <si>
    <t xml:space="preserve">IVI 107 Bis Mandialaza Ambodivona </t>
  </si>
  <si>
    <t>/0341387151</t>
  </si>
  <si>
    <t xml:space="preserve">Andriamahery Ny Avo </t>
  </si>
  <si>
    <t>Lot IVN 26 Ankaditapaka Avaratra</t>
  </si>
  <si>
    <t>/0342820902</t>
  </si>
  <si>
    <t>RATOLOJANAHARY</t>
  </si>
  <si>
    <t xml:space="preserve">Nicolas </t>
  </si>
  <si>
    <t>Tsararano Ambony - Mahabibo</t>
  </si>
  <si>
    <t>/0345175395</t>
  </si>
  <si>
    <t xml:space="preserve">ANDRIANTSIMBA </t>
  </si>
  <si>
    <t xml:space="preserve">Hasindraibe Ansène </t>
  </si>
  <si>
    <t>Lot 146 Analamahaitsy Cité</t>
  </si>
  <si>
    <t>/0340466918</t>
  </si>
  <si>
    <t xml:space="preserve">RAZANAKOTO </t>
  </si>
  <si>
    <t>Andrianirina Michael</t>
  </si>
  <si>
    <t xml:space="preserve">Lot 2H71 Ambalakazaha Sud </t>
  </si>
  <si>
    <t>/0340835583</t>
  </si>
  <si>
    <t xml:space="preserve">RAZAKAMIADANA </t>
  </si>
  <si>
    <t xml:space="preserve">Fiaro </t>
  </si>
  <si>
    <t xml:space="preserve">II N 35 BJ Analamahitsy </t>
  </si>
  <si>
    <t>/0344123954</t>
  </si>
  <si>
    <t xml:space="preserve">LAI </t>
  </si>
  <si>
    <t>Mireïl</t>
  </si>
  <si>
    <t xml:space="preserve">Ambalakazaha Nord - MANAKARA </t>
  </si>
  <si>
    <t>/0349217800</t>
  </si>
  <si>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</si>
  <si>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</si>
  <si>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</si>
  <si>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</si>
  <si>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</si>
  <si>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</si>
  <si>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</si>
  <si>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</si>
  <si>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</si>
  <si>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 xml:space="preserve">RABOANA </t>
  </si>
  <si>
    <t>Nirine Annick</t>
  </si>
  <si>
    <t>II E 35 F Bis Ambohidahy - Ankadindramamy</t>
  </si>
  <si>
    <t>/0344053564</t>
  </si>
  <si>
    <t xml:space="preserve">RAKOTONINDRINA TOMBONIAINA </t>
  </si>
  <si>
    <t xml:space="preserve">Anick </t>
  </si>
  <si>
    <t xml:space="preserve">Lot II N 149  Bis Anjanahary </t>
  </si>
  <si>
    <t>/0341502533</t>
  </si>
  <si>
    <t>FAC 318</t>
  </si>
  <si>
    <t>Semaine 37</t>
  </si>
  <si>
    <t>RASAHOLIHARILALAINA</t>
  </si>
  <si>
    <t>Mireille</t>
  </si>
  <si>
    <t xml:space="preserve"> E 93 X Tsarahonenana - Tana V</t>
  </si>
  <si>
    <t>/0345276874</t>
  </si>
  <si>
    <t>A125-909523</t>
  </si>
  <si>
    <t xml:space="preserve">YAMAHA ZR </t>
  </si>
  <si>
    <t>RABENATOANDRO</t>
  </si>
  <si>
    <t>IVG 12 Bis Ambohidahy - Tana III</t>
  </si>
  <si>
    <t>/0329940638</t>
  </si>
  <si>
    <t>5CP-116882</t>
  </si>
  <si>
    <t>RAZAFINDRAKETAKA</t>
  </si>
  <si>
    <t xml:space="preserve">Faratiana Clementine </t>
  </si>
  <si>
    <t xml:space="preserve">Ankadifotsy </t>
  </si>
  <si>
    <t>/0332068592</t>
  </si>
  <si>
    <t>SR30BB-238765</t>
  </si>
  <si>
    <t>SE30BA-102378</t>
  </si>
  <si>
    <t>SR30BB-205236</t>
  </si>
  <si>
    <t>SR30BB-245226</t>
  </si>
  <si>
    <t>SE30AE-102062</t>
  </si>
  <si>
    <t>SR30ED-112741</t>
  </si>
  <si>
    <t>SR30BB-210330</t>
  </si>
  <si>
    <t>SR30BB-102091</t>
  </si>
  <si>
    <t>SR30BB-223016</t>
  </si>
  <si>
    <t>SE25AA-134999</t>
  </si>
  <si>
    <t>SE25AA-138450</t>
  </si>
  <si>
    <t>SE25AD-100151</t>
  </si>
  <si>
    <t>SR25AA-207702</t>
  </si>
  <si>
    <t>SE25AA-124842</t>
  </si>
  <si>
    <t>SE25AA-118168</t>
  </si>
  <si>
    <t>SE30AA-101300</t>
  </si>
  <si>
    <t>SR30ED-123308</t>
  </si>
  <si>
    <t>SE30AE-101428</t>
  </si>
  <si>
    <t>SE30AB-100926</t>
  </si>
  <si>
    <t>SR25AA-204240</t>
  </si>
  <si>
    <t>SE30BB-101412</t>
  </si>
  <si>
    <t>SE25AA-111570</t>
  </si>
  <si>
    <t>SE30AE-101988</t>
  </si>
  <si>
    <t>SR30ED-109800</t>
  </si>
  <si>
    <t>SR30BB-258029</t>
  </si>
  <si>
    <t>SE25AA-125041</t>
  </si>
  <si>
    <t>SR30BB-254388</t>
  </si>
  <si>
    <t>SR30BB-101250</t>
  </si>
  <si>
    <t>SR30BB-237246</t>
  </si>
  <si>
    <t>SR25AD-200669</t>
  </si>
  <si>
    <t>SR30BB-236965</t>
  </si>
  <si>
    <t>SR30BB-402569</t>
  </si>
  <si>
    <t>SR30BB-245272</t>
  </si>
  <si>
    <t>Malala Tsiriniaina</t>
  </si>
  <si>
    <t>YES</t>
  </si>
  <si>
    <t>KYMCO RACING (Old) ex 219</t>
  </si>
  <si>
    <t>E3B9E-420351</t>
  </si>
  <si>
    <t>E3B9E-606291</t>
  </si>
  <si>
    <t>E3B9E-595088</t>
  </si>
  <si>
    <t>Semiane 38</t>
  </si>
  <si>
    <t>ARRISOLO</t>
  </si>
  <si>
    <t>Sombiniaina Nicko</t>
  </si>
  <si>
    <t>III 56 E Andavamamba Ambilanibe</t>
  </si>
  <si>
    <t>/0341469597</t>
  </si>
  <si>
    <t>RABEMANANJARA</t>
  </si>
  <si>
    <t>Hery Anicet</t>
  </si>
  <si>
    <t>Antananarivo</t>
  </si>
  <si>
    <t>/0343619317</t>
  </si>
  <si>
    <t xml:space="preserve">AMBOARANIAINA </t>
  </si>
  <si>
    <t>Harisoa Tiavina Alexandre</t>
  </si>
  <si>
    <t>II A26 Ter A Amboditsiry</t>
  </si>
  <si>
    <t>/0341090453</t>
  </si>
  <si>
    <t>BENA RAHARISON</t>
  </si>
  <si>
    <t>Simplicie</t>
  </si>
  <si>
    <t>Lot IPF 16 Ambohijafy Tana</t>
  </si>
  <si>
    <t>338'</t>
  </si>
  <si>
    <t>RALIJAONA</t>
  </si>
  <si>
    <t>Tsiory Tahianjanahary</t>
  </si>
  <si>
    <t>Bis I F 13 Tsenakely Andraisoro</t>
  </si>
  <si>
    <t>/0326750278</t>
  </si>
  <si>
    <t>Tefy Andrianina</t>
  </si>
  <si>
    <t>ITB 78 D Ambaniala Itaosy</t>
  </si>
  <si>
    <t>/0340622490</t>
  </si>
  <si>
    <t xml:space="preserve">RAVELOMANANTSOA </t>
  </si>
  <si>
    <t xml:space="preserve">Fenoravaka Manitra </t>
  </si>
  <si>
    <t>ANDRIANJARATIANA</t>
  </si>
  <si>
    <t>Tahinasoa</t>
  </si>
  <si>
    <t xml:space="preserve">IVR 44 Bis Ambohibary Antanimena </t>
  </si>
  <si>
    <t>/0340203142/0344651472</t>
  </si>
  <si>
    <t xml:space="preserve">Tsiferaniaina Mica </t>
  </si>
  <si>
    <t>Lot II I 160 DDBA Alarobia</t>
  </si>
  <si>
    <t>/0345077967</t>
  </si>
  <si>
    <t>Mamy Lantoniaina Lala</t>
  </si>
  <si>
    <t>AD 6 Ter N Bis Ambohitrahaba</t>
  </si>
  <si>
    <t>/0322292088</t>
  </si>
  <si>
    <t>343'</t>
  </si>
  <si>
    <t>RAHADRANIRIANA</t>
  </si>
  <si>
    <t xml:space="preserve">Tojo Tsivery </t>
  </si>
  <si>
    <t>Lot II T 57 Bis Anosibe Mandrangibeto</t>
  </si>
  <si>
    <t>/0341789892</t>
  </si>
  <si>
    <t>Iandrilala Eli</t>
  </si>
  <si>
    <t>II N 9 FC Bs Ambatobe</t>
  </si>
  <si>
    <t>/0341115590</t>
  </si>
  <si>
    <t>RASOLOMALALA</t>
  </si>
  <si>
    <t xml:space="preserve">Phylibert </t>
  </si>
  <si>
    <t>10' Lot IVO 124 Ankorondrano</t>
  </si>
  <si>
    <t>/0341282986</t>
  </si>
  <si>
    <t xml:space="preserve">Fy Tsitohaina Anselme </t>
  </si>
  <si>
    <t xml:space="preserve">Lot II A 8 C Bis Amboditsiry </t>
  </si>
  <si>
    <t>Harison Socrate</t>
  </si>
  <si>
    <t>Lot 4 B II Ambohimangakely</t>
  </si>
  <si>
    <t>/0340206608</t>
  </si>
  <si>
    <t>RAKOTOARIMANANA</t>
  </si>
  <si>
    <t>Rado Herizo</t>
  </si>
  <si>
    <t xml:space="preserve">II A 3 G Amboditsiry </t>
  </si>
  <si>
    <t>/0332389003</t>
  </si>
  <si>
    <t xml:space="preserve">Andrinirina Christian </t>
  </si>
  <si>
    <t>Ambatolahikosoa Fianarantsoa</t>
  </si>
  <si>
    <t>/0340417911</t>
  </si>
  <si>
    <t>METHODE</t>
  </si>
  <si>
    <t>Justin</t>
  </si>
  <si>
    <t xml:space="preserve">Lot 46 B Anjanahary </t>
  </si>
  <si>
    <t>/0345458015</t>
  </si>
  <si>
    <t>4XB-002449</t>
  </si>
  <si>
    <t>YAMAHA JOG 4</t>
  </si>
  <si>
    <t xml:space="preserve">ANDRIAMAMPIANINA </t>
  </si>
  <si>
    <t>Ny Aina Liantsoa</t>
  </si>
  <si>
    <t>101  251 192 762</t>
  </si>
  <si>
    <t>II A 10 Amboditsiry</t>
  </si>
  <si>
    <t>/0328874125</t>
  </si>
  <si>
    <t>344-352</t>
  </si>
  <si>
    <t>Tojo Marchel</t>
  </si>
  <si>
    <t>Lot IPN 53 A Ambanilalana</t>
  </si>
  <si>
    <t>/0332521225</t>
  </si>
  <si>
    <t xml:space="preserve">Michaël Martini </t>
  </si>
  <si>
    <t>4DM-042737</t>
  </si>
  <si>
    <t>Narindraniaina</t>
  </si>
  <si>
    <t>VR 71 Ankadibevava Tana II</t>
  </si>
  <si>
    <t>/0342668775</t>
  </si>
  <si>
    <t>SE30BB-625797</t>
  </si>
  <si>
    <t>Nasolonirina Fiononantsoa</t>
  </si>
  <si>
    <t>Lot II E 2 RP Bis Ambatokaranana</t>
  </si>
  <si>
    <t>/0345476679</t>
  </si>
  <si>
    <t xml:space="preserve">RAKOTONDRABARY </t>
  </si>
  <si>
    <t xml:space="preserve">Niaina </t>
  </si>
  <si>
    <t xml:space="preserve">Lot II A 73 BL Ambatomainty </t>
  </si>
  <si>
    <t>SE25AA-123379</t>
  </si>
  <si>
    <t>RAMANITRARIVO</t>
  </si>
  <si>
    <t>Vonisoa</t>
  </si>
  <si>
    <t>FANOMEZANTSOA</t>
  </si>
  <si>
    <t>Faneva Fiorenana</t>
  </si>
  <si>
    <t xml:space="preserve">Lot III G 18 Antohomadinika </t>
  </si>
  <si>
    <t>/0342042246</t>
  </si>
  <si>
    <t>RABARISOA</t>
  </si>
  <si>
    <t>Florentin</t>
  </si>
  <si>
    <t>Lot AV 85 Bis Avaratetezana</t>
  </si>
  <si>
    <t>/0346084461</t>
  </si>
  <si>
    <t>E390E-106932</t>
  </si>
  <si>
    <t>FANANTENANA</t>
  </si>
  <si>
    <t>Dina Harisoa Santatra Ny Aina</t>
  </si>
  <si>
    <t xml:space="preserve">Lot AK 4 Bis Ankadikely </t>
  </si>
  <si>
    <t>/0349091179</t>
  </si>
  <si>
    <t xml:space="preserve">RAHARISON </t>
  </si>
  <si>
    <t>Harry Jhon</t>
  </si>
  <si>
    <t>Ivato Cité Asecna N 06</t>
  </si>
  <si>
    <t>/0342010790</t>
  </si>
  <si>
    <t>4UF-020705</t>
  </si>
  <si>
    <t>Tojo Mampionona Mbinintsoa</t>
  </si>
  <si>
    <t>I B 33 F Amboditsry</t>
  </si>
  <si>
    <t>/0347262884</t>
  </si>
  <si>
    <t>ANDRAMIANDRISOA</t>
  </si>
  <si>
    <t>Toky Heriniaina</t>
  </si>
  <si>
    <t xml:space="preserve">Lot II M 36 D Bis Mahavoky </t>
  </si>
  <si>
    <t>/0347913603</t>
  </si>
  <si>
    <t xml:space="preserve">RAVELOJAONA </t>
  </si>
  <si>
    <t xml:space="preserve">RAMBONIHASINA </t>
  </si>
  <si>
    <t xml:space="preserve">Sania </t>
  </si>
  <si>
    <t>I N 83 HVA Analamahitsy</t>
  </si>
  <si>
    <t>/0338724932</t>
  </si>
  <si>
    <t>SE25AA-122031</t>
  </si>
  <si>
    <t>Tojotiana Anthony</t>
  </si>
  <si>
    <t>I N 28 Ter Mahavoky -Tana III</t>
  </si>
  <si>
    <t>/0320553800</t>
  </si>
  <si>
    <t xml:space="preserve">BETSIAHINA </t>
  </si>
  <si>
    <t>Zafifotsy Herald</t>
  </si>
  <si>
    <t>Lot 131 KE Ambohimitsnjo</t>
  </si>
  <si>
    <t>/0328203153</t>
  </si>
  <si>
    <t>SE30AA-101800</t>
  </si>
  <si>
    <t>B.L 160</t>
  </si>
  <si>
    <t>RANDRANJAKA HARIVONY</t>
  </si>
  <si>
    <t>Heritiana Jean Desiré</t>
  </si>
  <si>
    <t>II B 5 Bis 5 Amboditsiry</t>
  </si>
  <si>
    <t>/0340729129</t>
  </si>
  <si>
    <t>B.L 161</t>
  </si>
  <si>
    <t>Andry</t>
  </si>
  <si>
    <t>IVO 123 Ankorondrano</t>
  </si>
  <si>
    <t>B.L 162</t>
  </si>
  <si>
    <t xml:space="preserve">RAKOTOMAMONJY </t>
  </si>
  <si>
    <t>VO 123 Ankorondrano</t>
  </si>
  <si>
    <t>B.L 163</t>
  </si>
  <si>
    <t>Andilamena II</t>
  </si>
  <si>
    <t>B.L 164</t>
  </si>
  <si>
    <t>B.L 165</t>
  </si>
  <si>
    <t>II N 97 Bis Ambatobe</t>
  </si>
  <si>
    <t>B.L 166</t>
  </si>
  <si>
    <t>B.L 167</t>
  </si>
  <si>
    <t>B.L 168</t>
  </si>
  <si>
    <t>B.L 169</t>
  </si>
  <si>
    <t>RAVELOSON ANDRAMAMITIANA</t>
  </si>
  <si>
    <t>Jean Iva Thierry</t>
  </si>
  <si>
    <t>Lot A 98 Ter 6 Ambohitrahaba</t>
  </si>
  <si>
    <t>/0343452482</t>
  </si>
  <si>
    <t xml:space="preserve">B.L 170 </t>
  </si>
  <si>
    <t xml:space="preserve">Lot II B 48 E Amboditsiry </t>
  </si>
  <si>
    <t>B.L 171</t>
  </si>
  <si>
    <t>Lot B 350 Anatihazo Isotry</t>
  </si>
  <si>
    <t>B.L 172</t>
  </si>
  <si>
    <t>HARIMANANA</t>
  </si>
  <si>
    <t>Hajaniaina</t>
  </si>
  <si>
    <t>Lot 03253 D Andobo Sabnam</t>
  </si>
  <si>
    <t>/0342950077</t>
  </si>
  <si>
    <t>ANDRINIAINA</t>
  </si>
  <si>
    <t>Andotiana Zo</t>
  </si>
  <si>
    <t xml:space="preserve">II B 170 AE Manjakaray </t>
  </si>
  <si>
    <t>/0333719748</t>
  </si>
  <si>
    <t>SE30BA-625797</t>
  </si>
  <si>
    <t>B.L 175</t>
  </si>
  <si>
    <t>Jonathan Faniry</t>
  </si>
  <si>
    <t>B.L 176</t>
  </si>
  <si>
    <t>ANDRIAMANGA</t>
  </si>
  <si>
    <t>Navalona Mickaël Sedera</t>
  </si>
  <si>
    <t>GC 20 Soamiandalana</t>
  </si>
  <si>
    <t>/0326204463</t>
  </si>
  <si>
    <t>Numero de serie</t>
  </si>
  <si>
    <t xml:space="preserve">RATAFIKA </t>
  </si>
  <si>
    <t>Hary</t>
  </si>
  <si>
    <t>E 9 DA Ambohimirary</t>
  </si>
  <si>
    <t>/0348028126</t>
  </si>
  <si>
    <t>SE25AA-127195</t>
  </si>
  <si>
    <t>RAKOTOARIMINO</t>
  </si>
  <si>
    <t>Radoniaina Mamy</t>
  </si>
  <si>
    <t>Lot 120 A5 Ambohipanja - Ankadikely</t>
  </si>
  <si>
    <t>4KX-209611</t>
  </si>
  <si>
    <t xml:space="preserve">RANDRIANANDRASANA </t>
  </si>
  <si>
    <t>Fanantenana</t>
  </si>
  <si>
    <t>Lot AV 2 Ter Bis  K Ambohitrarahaba</t>
  </si>
  <si>
    <t>/0342700332</t>
  </si>
  <si>
    <t>/0340772014</t>
  </si>
  <si>
    <t>RANDRIAMIARINOSY</t>
  </si>
  <si>
    <t xml:space="preserve">Njaka Tahina </t>
  </si>
  <si>
    <t>Lot III X 156 A Andavamamba</t>
  </si>
  <si>
    <t>/0321106642</t>
  </si>
  <si>
    <t>Semaine 39</t>
  </si>
  <si>
    <t xml:space="preserve">HAINGONIRINA </t>
  </si>
  <si>
    <t xml:space="preserve">Kanto Mickaela </t>
  </si>
  <si>
    <t>II E 32 J bis A Ambohidahy</t>
  </si>
  <si>
    <t>/0338311376</t>
  </si>
  <si>
    <t xml:space="preserve">HERINILAINA </t>
  </si>
  <si>
    <t>Eric Alson</t>
  </si>
  <si>
    <t xml:space="preserve">Lot IVK 86 Ter Anosivavaka Ambohimanarina </t>
  </si>
  <si>
    <t>/0349709258</t>
  </si>
  <si>
    <t xml:space="preserve">RAZAFINIAINA </t>
  </si>
  <si>
    <t>Hery Mickael</t>
  </si>
  <si>
    <t>IPT 219 Antanety</t>
  </si>
  <si>
    <t>/0336883836</t>
  </si>
  <si>
    <t>RAFANOMEZANJANAHARY</t>
  </si>
  <si>
    <t xml:space="preserve">Laurent Olivier </t>
  </si>
  <si>
    <t>AZ 64 A1/A Antokotanitsara</t>
  </si>
  <si>
    <t>Andrianina Manoa</t>
  </si>
  <si>
    <t>IVA 26 Bis Ambohimandroso</t>
  </si>
  <si>
    <t>/0328641802</t>
  </si>
  <si>
    <t>SE25AA-110498</t>
  </si>
  <si>
    <t>SE25AA-102509</t>
  </si>
  <si>
    <t>SE25AA-128831</t>
  </si>
  <si>
    <t>SE25AA-120895</t>
  </si>
  <si>
    <t>SE25AA-128795</t>
  </si>
  <si>
    <t>SE25AA-106758</t>
  </si>
  <si>
    <t>SR25AA-210418</t>
  </si>
  <si>
    <t>SE25AA-101895</t>
  </si>
  <si>
    <t>SE25AA-109148</t>
  </si>
  <si>
    <t>SR25AA-101702</t>
  </si>
  <si>
    <t>SR25AA-104813</t>
  </si>
  <si>
    <t>Semaine 40</t>
  </si>
  <si>
    <t>SR25AC-102271</t>
  </si>
  <si>
    <t>B.L 177</t>
  </si>
  <si>
    <t>Harison Julien</t>
  </si>
  <si>
    <t>Lot 03 442 D Tsarafar Sab-Nam</t>
  </si>
  <si>
    <t>/0345862664</t>
  </si>
  <si>
    <t>SD25UC-105600</t>
  </si>
  <si>
    <t>B.L 178</t>
  </si>
  <si>
    <t xml:space="preserve">RANDRIAMANANTSOA </t>
  </si>
  <si>
    <t xml:space="preserve">Lot I B 48 E Amboditsiry </t>
  </si>
  <si>
    <t>B.L 182</t>
  </si>
  <si>
    <t>Andrianjaka</t>
  </si>
  <si>
    <t>IGC 20 Soamiandalana-Talata</t>
  </si>
  <si>
    <t>/0331151071</t>
  </si>
  <si>
    <t>SOLIFONIAINA</t>
  </si>
  <si>
    <t>Laurent Tinau</t>
  </si>
  <si>
    <t>193 A Ankadikely Antanandrano</t>
  </si>
  <si>
    <t>/0344278933</t>
  </si>
  <si>
    <t>Faly Andrianaivo</t>
  </si>
  <si>
    <t>II E 58 E Bis Ampanotokana</t>
  </si>
  <si>
    <t>/0340271369</t>
  </si>
  <si>
    <t>RANDRIAMIHAJA</t>
  </si>
  <si>
    <t>Jean Augustin</t>
  </si>
  <si>
    <t>IPT 119 Bis Antanety</t>
  </si>
  <si>
    <t>/0346576156</t>
  </si>
  <si>
    <t>Serge Alain</t>
  </si>
  <si>
    <t>III G 113 Antohomadinika Hangar</t>
  </si>
  <si>
    <t>/0347055932</t>
  </si>
  <si>
    <t xml:space="preserve">Lovatiana Joséa </t>
  </si>
  <si>
    <t>Lot 03 855 D Tsarafara Sabotsy Namehana</t>
  </si>
  <si>
    <t>/0348552535</t>
  </si>
  <si>
    <t>PGO-TIGRA</t>
  </si>
  <si>
    <t>Jean Robert</t>
  </si>
  <si>
    <t>AMBOHITRAVOKO AMBATOMENA</t>
  </si>
  <si>
    <t>/0343222437</t>
  </si>
  <si>
    <t>Andrinirina</t>
  </si>
  <si>
    <t>Ampay-Soavinandriana</t>
  </si>
  <si>
    <t>SEDRAVONONAHOAVOTRA</t>
  </si>
  <si>
    <t>Irinatoavina Lafatrafiaina</t>
  </si>
  <si>
    <t>Lot II 0.D.0.19 Ankadivoribe Talata Volonondry</t>
  </si>
  <si>
    <t>/0345430474</t>
  </si>
  <si>
    <t>/0341172567</t>
  </si>
  <si>
    <t>Semaine 41</t>
  </si>
  <si>
    <t>MIOS 10</t>
  </si>
  <si>
    <t>ANDRIANALIZAHA</t>
  </si>
  <si>
    <t>Njohany Andréa</t>
  </si>
  <si>
    <t>Ambohimarina Est Fiaferana</t>
  </si>
  <si>
    <t>/0344526280</t>
  </si>
  <si>
    <t xml:space="preserve">RAJAOBELINA </t>
  </si>
  <si>
    <t xml:space="preserve">Heritiana Emmanuel </t>
  </si>
  <si>
    <t>Lot VQ 1 Bis Ambohimiandra</t>
  </si>
  <si>
    <t>/0331442366</t>
  </si>
  <si>
    <t>SR30BB-100137</t>
  </si>
  <si>
    <t xml:space="preserve">RATSISALOVANINA </t>
  </si>
  <si>
    <t xml:space="preserve">Lot II B 92 Amboditsiry </t>
  </si>
  <si>
    <t>/0343363454</t>
  </si>
  <si>
    <t>SR30BB-234118</t>
  </si>
  <si>
    <t>RABEHERIZO</t>
  </si>
  <si>
    <t xml:space="preserve">Hariandrianina </t>
  </si>
  <si>
    <t>II B 92Amboditsiry</t>
  </si>
  <si>
    <t>/0329811664</t>
  </si>
  <si>
    <t>RAKOTOVOLOLONJATOVO</t>
  </si>
  <si>
    <t xml:space="preserve">Mirantsoa Haritina </t>
  </si>
  <si>
    <t xml:space="preserve">Lot IJ 07 Ter Ambodivona </t>
  </si>
  <si>
    <t>/0342125922</t>
  </si>
  <si>
    <t>SE30BB-101098</t>
  </si>
  <si>
    <t xml:space="preserve">Bernit Gerardot </t>
  </si>
  <si>
    <t>Betroka Centre</t>
  </si>
  <si>
    <t>/0342131510</t>
  </si>
  <si>
    <t>SR25AA-210406</t>
  </si>
  <si>
    <t>MINO RAZAKANDRIAMANANA</t>
  </si>
  <si>
    <t>Tsimba</t>
  </si>
  <si>
    <t>Lot II 1 51 Ter Amboniloha - Tana V</t>
  </si>
  <si>
    <t>B.L 183</t>
  </si>
  <si>
    <t>Kevin Anthony</t>
  </si>
  <si>
    <t>II 1Pres 102 Anjanahary</t>
  </si>
  <si>
    <t>/0339195419</t>
  </si>
  <si>
    <t>(J)</t>
  </si>
  <si>
    <t>SE25AA-110328</t>
  </si>
  <si>
    <t>SE25AA-138933</t>
  </si>
  <si>
    <t>SE25AA-109550</t>
  </si>
  <si>
    <t>SE30AE-101797</t>
  </si>
  <si>
    <t>SE25AA-112946</t>
  </si>
  <si>
    <t>SE30AE-100287</t>
  </si>
  <si>
    <t>SE25AA-115719</t>
  </si>
  <si>
    <t>SE25AA-108071</t>
  </si>
  <si>
    <t>SE25AA-109298</t>
  </si>
  <si>
    <t>SE25AA-119157</t>
  </si>
  <si>
    <t>SR30BB-247026</t>
  </si>
  <si>
    <t>SR30BB-239805</t>
  </si>
  <si>
    <t>Semaine 42</t>
  </si>
  <si>
    <t>RAMANAMIHAJA</t>
  </si>
  <si>
    <t>Zo Rachel</t>
  </si>
  <si>
    <t>Lot IVM 104 6Bis Antetezanafovoany</t>
  </si>
  <si>
    <t>/0331349714</t>
  </si>
  <si>
    <t>SR30BB-231167</t>
  </si>
  <si>
    <t>SE25AA-115116</t>
  </si>
  <si>
    <t>RAZAFINDRAKOTOARILALA</t>
  </si>
  <si>
    <t xml:space="preserve"> Noel Jacky </t>
  </si>
  <si>
    <t>Lot 62 Faralaza</t>
  </si>
  <si>
    <t>/0349730467</t>
  </si>
  <si>
    <t>3 800 000AR</t>
  </si>
  <si>
    <t>2 700 000ar</t>
  </si>
  <si>
    <t xml:space="preserve">ANDRIAMBELO </t>
  </si>
  <si>
    <t>Mario Aimé</t>
  </si>
  <si>
    <t>Lot V4 30 A Amboditsiry</t>
  </si>
  <si>
    <t>/0340478111</t>
  </si>
  <si>
    <t>SE25AA-103736</t>
  </si>
  <si>
    <t>RASOLOARISATA</t>
  </si>
  <si>
    <t>Tantaliniaina</t>
  </si>
  <si>
    <t>Lot III2 C 230 Antsongo</t>
  </si>
  <si>
    <t>3 250 000ar</t>
  </si>
  <si>
    <t>2 600 000 ar</t>
  </si>
  <si>
    <t>2 800 000ar</t>
  </si>
  <si>
    <t>/0332117448</t>
  </si>
  <si>
    <t>/0348916383</t>
  </si>
  <si>
    <t>Lot II T 109 A Bio Ampandrana</t>
  </si>
  <si>
    <t>Rindra Nantenaina</t>
  </si>
  <si>
    <t>JAONARISON</t>
  </si>
  <si>
    <t>Mamiarisoa</t>
  </si>
  <si>
    <t>II E 12 B Cité météo Amnatokaranana</t>
  </si>
  <si>
    <t>/0348100020</t>
  </si>
  <si>
    <t>3 200 000ar</t>
  </si>
  <si>
    <t>3 000 000ar</t>
  </si>
  <si>
    <t>08/02021</t>
  </si>
  <si>
    <t>/0338724910</t>
  </si>
  <si>
    <t>Lot II B 95 FA Ambatomainty</t>
  </si>
  <si>
    <t>Hasinjanahary Toky Samoela</t>
  </si>
  <si>
    <t>RAVELOARISON</t>
  </si>
  <si>
    <t>SR30BB-221049</t>
  </si>
  <si>
    <t>SR30BB-208871</t>
  </si>
  <si>
    <t>SE30BA-101899</t>
  </si>
  <si>
    <t>SR30BB-230983</t>
  </si>
  <si>
    <t>SR30BB-249201</t>
  </si>
  <si>
    <t>SR30BB-218759</t>
  </si>
  <si>
    <t>SE30BA-101216</t>
  </si>
  <si>
    <t>SR30BB-205101</t>
  </si>
  <si>
    <t>SR30BB-217481</t>
  </si>
  <si>
    <t>SR30BB-104846</t>
  </si>
  <si>
    <t>B.L 189</t>
  </si>
  <si>
    <t>RANRIAMANANTSOA</t>
  </si>
  <si>
    <t>Lot I B 48 E Amboditsiry</t>
  </si>
  <si>
    <t>B.L 190</t>
  </si>
  <si>
    <t xml:space="preserve">RANDRIAMANANTENA </t>
  </si>
  <si>
    <t>Lot IJ 346 Ambavahaditokana</t>
  </si>
  <si>
    <t>B.L 191</t>
  </si>
  <si>
    <t>SE25BB-110498</t>
  </si>
  <si>
    <t>ANDRIANASOLO</t>
  </si>
  <si>
    <t xml:space="preserve">Mahefaniaina Jean Fidèle </t>
  </si>
  <si>
    <t xml:space="preserve">II A 17 C Amboditsiry </t>
  </si>
  <si>
    <t>/0340013355</t>
  </si>
  <si>
    <t>SD25*5500529</t>
  </si>
  <si>
    <t>RAHARIMIADANA</t>
  </si>
  <si>
    <t xml:space="preserve">Manohisoa Nomenjanahary </t>
  </si>
  <si>
    <t>Lot IDA 001 Ter Ambohitrandriamanjaka</t>
  </si>
  <si>
    <t>/0345452963</t>
  </si>
  <si>
    <t>5CP-110127</t>
  </si>
  <si>
    <t>ANDRIAMALALA</t>
  </si>
  <si>
    <t>David Harison</t>
  </si>
  <si>
    <t>Lot IVN 87 Bis CCF Ankasina</t>
  </si>
  <si>
    <t>/0347915347</t>
  </si>
  <si>
    <t>RAMANDRAIVONONA</t>
  </si>
  <si>
    <t>Soloniaina Rija</t>
  </si>
  <si>
    <t xml:space="preserve">II  B 55 GA Amboditsiry </t>
  </si>
  <si>
    <t>/0320773693</t>
  </si>
  <si>
    <t>RANDRIAMANANERA</t>
  </si>
  <si>
    <t>Haingotiana Augustin</t>
  </si>
  <si>
    <t>115 A Andranoro Ambohibao</t>
  </si>
  <si>
    <t>/0327290197</t>
  </si>
  <si>
    <t>RAHOLINIRINA</t>
  </si>
  <si>
    <t>Perle Solange</t>
  </si>
  <si>
    <t xml:space="preserve">IAN 20 D MAROBIBY Itaosy </t>
  </si>
  <si>
    <t>/0331241868</t>
  </si>
  <si>
    <t>KC680694</t>
  </si>
  <si>
    <t>SYM R1</t>
  </si>
  <si>
    <t>FITIA</t>
  </si>
  <si>
    <t>Hery Marc Nirina</t>
  </si>
  <si>
    <t>/0320778575</t>
  </si>
  <si>
    <t>RAFIDINIAINA</t>
  </si>
  <si>
    <t>Noelison Adolphe</t>
  </si>
  <si>
    <t>Lot B 209 Andranomanalina Centre</t>
  </si>
  <si>
    <t>/0340615299</t>
  </si>
  <si>
    <t xml:space="preserve">RAKOTOARIVONY </t>
  </si>
  <si>
    <t>Sija Mihaja Fanomezantsoa</t>
  </si>
  <si>
    <t>III K 21 Ter Ankaditoha</t>
  </si>
  <si>
    <t>/0347893063</t>
  </si>
  <si>
    <t>SR25EA-106867</t>
  </si>
  <si>
    <t>AFANANTENANTSOA</t>
  </si>
  <si>
    <t>Milijohn Coco</t>
  </si>
  <si>
    <t>Lot A 5 Ambohitrahaba</t>
  </si>
  <si>
    <t>5FJ-611379</t>
  </si>
  <si>
    <t xml:space="preserve">YAMAHA ZR EVO </t>
  </si>
  <si>
    <t>RALAMBOMANANA</t>
  </si>
  <si>
    <t>Ando Miarintsoa</t>
  </si>
  <si>
    <t>Lot ED 31 Ambolotara Sab Nam</t>
  </si>
  <si>
    <t>/0330777779</t>
  </si>
  <si>
    <t>SJ25KA-103280</t>
  </si>
  <si>
    <t>ANDRIAMAMONJY</t>
  </si>
  <si>
    <t>Njiva</t>
  </si>
  <si>
    <t>/0344009394</t>
  </si>
  <si>
    <t>Miaritiana</t>
  </si>
  <si>
    <t>III D 60 D/ Ambohijanahary</t>
  </si>
  <si>
    <t>/0329143480</t>
  </si>
  <si>
    <t>Semaine 43</t>
  </si>
  <si>
    <t>RANDRIATIANA</t>
  </si>
  <si>
    <t>Harinivo Dnasoa</t>
  </si>
  <si>
    <t>/0345079429</t>
  </si>
  <si>
    <t>SE30AE-101721</t>
  </si>
  <si>
    <t>Mahefasoa Marie Dinoh</t>
  </si>
  <si>
    <t>II T 108 Antanambao/Ambohibao</t>
  </si>
  <si>
    <t>Lot 28 FI Ambohitravao</t>
  </si>
  <si>
    <t>/0340588242</t>
  </si>
  <si>
    <t>LIVA MANANJARASOA</t>
  </si>
  <si>
    <t>Victoria Berline</t>
  </si>
  <si>
    <t>Amoarihy-Taolagnaro</t>
  </si>
  <si>
    <t>/0330745310</t>
  </si>
  <si>
    <t>SR30AB-217481</t>
  </si>
  <si>
    <t xml:space="preserve">RANDRIAMANJATO </t>
  </si>
  <si>
    <t>Jean Frederic</t>
  </si>
  <si>
    <t>II G 5 A Bis A Ambatomaro</t>
  </si>
  <si>
    <t>/0345145555</t>
  </si>
  <si>
    <t>RAKOTOARIJAONA</t>
  </si>
  <si>
    <t>Vola</t>
  </si>
  <si>
    <t>Lot II G 104 Bis AAT Ambatomaro</t>
  </si>
  <si>
    <t>/0346455822</t>
  </si>
  <si>
    <t>SE25AA-119187</t>
  </si>
  <si>
    <t>Mahery</t>
  </si>
  <si>
    <t>Lot FVB 80 Fenoarivo</t>
  </si>
  <si>
    <t>/0331948882</t>
  </si>
  <si>
    <t>SE25AA-109728</t>
  </si>
  <si>
    <t>PHILIPPINE</t>
  </si>
  <si>
    <t>Avotriniaina Lotera</t>
  </si>
  <si>
    <t>Ambalamanasa-Manakara</t>
  </si>
  <si>
    <t>/0343950023</t>
  </si>
  <si>
    <t xml:space="preserve">Johary Manevasoa Nomenjanahary </t>
  </si>
  <si>
    <t xml:space="preserve">Lot II G 10 Ter Bis Ambatomaro </t>
  </si>
  <si>
    <t>/0347404576</t>
  </si>
  <si>
    <t xml:space="preserve">II N Près 102 Anjanahary </t>
  </si>
  <si>
    <t>E373E-212436</t>
  </si>
  <si>
    <t>YAMAHA GTR</t>
  </si>
  <si>
    <t>ANDRIANALA</t>
  </si>
  <si>
    <t>Tatiana Fanomezantsoa</t>
  </si>
  <si>
    <t xml:space="preserve">Lot 157 B Bis Amboropotsy- Talatamaty </t>
  </si>
  <si>
    <t>/0349554400</t>
  </si>
  <si>
    <t>FD 303007</t>
  </si>
  <si>
    <t>SCOOTER SYM</t>
  </si>
  <si>
    <t xml:space="preserve">Simon Emlien </t>
  </si>
  <si>
    <t>III K 38 Ankaditoha</t>
  </si>
  <si>
    <t>/0342882462</t>
  </si>
  <si>
    <t>3KJ-8192092</t>
  </si>
  <si>
    <t>RANDRIARINORO</t>
  </si>
  <si>
    <t>Lalaina Nambinintsoa</t>
  </si>
  <si>
    <t>Lot VAS Antsahamamy</t>
  </si>
  <si>
    <t>/0333293414</t>
  </si>
  <si>
    <t>RASAMOELINA</t>
  </si>
  <si>
    <t>Tahiry Mahatony</t>
  </si>
  <si>
    <t xml:space="preserve">Lot ITE 23 Bis Ambaniala </t>
  </si>
  <si>
    <t>/0341460206</t>
  </si>
  <si>
    <t>A1F 0674</t>
  </si>
  <si>
    <t>Semaine 44</t>
  </si>
  <si>
    <t>MOIS 11</t>
  </si>
  <si>
    <t>RANDRIAMAHAZO</t>
  </si>
  <si>
    <t>Otrik'aina Orimbato</t>
  </si>
  <si>
    <t>II h 11 T Ankadindramamy</t>
  </si>
  <si>
    <t>/0332184394</t>
  </si>
  <si>
    <t xml:space="preserve">RAOELIJAONA </t>
  </si>
  <si>
    <t>Aina Nomenjanahary</t>
  </si>
  <si>
    <t>Lot II B 101 EA Ambatomainty</t>
  </si>
  <si>
    <t>/0340939095</t>
  </si>
  <si>
    <t>5FJ - 104090</t>
  </si>
  <si>
    <t>Lot ED 13 Bis Ambolotara Sab Nam</t>
  </si>
  <si>
    <t>/0335991279</t>
  </si>
  <si>
    <t>Semaine 45</t>
  </si>
  <si>
    <t>SD25UA-125399</t>
  </si>
  <si>
    <t>Semaine 46</t>
  </si>
  <si>
    <t xml:space="preserve">   </t>
  </si>
  <si>
    <t>B.L 195</t>
  </si>
  <si>
    <t>Rado Sarobidy</t>
  </si>
  <si>
    <t>Lot A 08 Andranovelona - Ilafy</t>
  </si>
  <si>
    <t>/0345470504</t>
  </si>
  <si>
    <t>SE25AA-107943</t>
  </si>
  <si>
    <t>TAVAGNAY</t>
  </si>
  <si>
    <t>Evariste</t>
  </si>
  <si>
    <t>Cisco Miarinarivo</t>
  </si>
  <si>
    <t>/0348917550</t>
  </si>
  <si>
    <t>ANDRIANANJA</t>
  </si>
  <si>
    <t>Luc Stephane</t>
  </si>
  <si>
    <t>Lot 1029 67 HA Nord Ouest</t>
  </si>
  <si>
    <t>/0345331758</t>
  </si>
  <si>
    <t>SD25-5500545</t>
  </si>
  <si>
    <t>RANDRIAMIARINAIVO</t>
  </si>
  <si>
    <t>Zacky</t>
  </si>
  <si>
    <t>27 O AS Ambohipanja</t>
  </si>
  <si>
    <t>/0344427485</t>
  </si>
  <si>
    <t>SR30FA-102012</t>
  </si>
  <si>
    <t>RAZAFIMANDIMBISON</t>
  </si>
  <si>
    <t>Alain Patrick</t>
  </si>
  <si>
    <t>Ampasikibo</t>
  </si>
  <si>
    <t>/0334178810</t>
  </si>
  <si>
    <t>SE25AA-102600</t>
  </si>
  <si>
    <t>ANDRIANIMANANA</t>
  </si>
  <si>
    <t>Ambohitravao - Anjozorobe</t>
  </si>
  <si>
    <t>/0328519070</t>
  </si>
  <si>
    <t>Jean Claude Andrianaivo</t>
  </si>
  <si>
    <t xml:space="preserve">AKM I 78 Ter Ambohimasina </t>
  </si>
  <si>
    <t>/0341575834</t>
  </si>
  <si>
    <t>RAZANAJATOVO</t>
  </si>
  <si>
    <t>Andriniaina</t>
  </si>
  <si>
    <t xml:space="preserve">Lot IVN 39 C Andohatapenaka III </t>
  </si>
  <si>
    <t>/0330396337</t>
  </si>
  <si>
    <t>RAMPANARIVO TIANA</t>
  </si>
  <si>
    <t>Haingo Malala</t>
  </si>
  <si>
    <t>Lot III F 185 C Antohomadinika</t>
  </si>
  <si>
    <t>/0348526860</t>
  </si>
  <si>
    <t>RAKOTOMANANA</t>
  </si>
  <si>
    <t>Radonirainy Tahiana</t>
  </si>
  <si>
    <t>Lot IVI 112 Mandialaza - Ambodivona</t>
  </si>
  <si>
    <t>/0343807205</t>
  </si>
  <si>
    <t>SE25AA-107853</t>
  </si>
  <si>
    <t>RAZAFINDRATSIMBA</t>
  </si>
  <si>
    <t>Bary Mahefanirina</t>
  </si>
  <si>
    <t>Lot 47 MI Bis Anosy Avaratra</t>
  </si>
  <si>
    <t>/0345811493</t>
  </si>
  <si>
    <t>RAZAFNDRAKOTO</t>
  </si>
  <si>
    <t>Andriamiarinony Balisama</t>
  </si>
  <si>
    <t>Lot CF 46 Bis Faliarivo - Ampitatafika</t>
  </si>
  <si>
    <t>SE30AA-103516</t>
  </si>
  <si>
    <t xml:space="preserve">RABARISOA </t>
  </si>
  <si>
    <t xml:space="preserve">RAKOTO </t>
  </si>
  <si>
    <t>Serge Bienvenu</t>
  </si>
  <si>
    <t>Bat 61 P 10 Caserne Fort Du schene</t>
  </si>
  <si>
    <t>/0340321142</t>
  </si>
  <si>
    <t>SE25AA-139595</t>
  </si>
  <si>
    <t>ANDRIANANDRAINY</t>
  </si>
  <si>
    <t>Hery Solo Jean Antonio</t>
  </si>
  <si>
    <t xml:space="preserve">Lot III x 302 Manarintsoa Est </t>
  </si>
  <si>
    <t>/0342859799</t>
  </si>
  <si>
    <t>Semaine 47</t>
  </si>
  <si>
    <t>KING</t>
  </si>
  <si>
    <t>SR30BB-233533</t>
  </si>
  <si>
    <t>SR30BB-203760</t>
  </si>
  <si>
    <t>SR30BB-103200</t>
  </si>
  <si>
    <t>SR30BB-201877</t>
  </si>
  <si>
    <t>SR30BB-104815</t>
  </si>
  <si>
    <t>SR30BB-246500</t>
  </si>
  <si>
    <t>SR30BB-257936</t>
  </si>
  <si>
    <t>SR30BB-102130</t>
  </si>
  <si>
    <t>SR30BB-101032</t>
  </si>
  <si>
    <t>SR30BB-242159</t>
  </si>
  <si>
    <t>SR30BB-212177</t>
  </si>
  <si>
    <t>SR30BB-105080</t>
  </si>
  <si>
    <t>SR30BB-227470</t>
  </si>
  <si>
    <t>SR30BB-101949</t>
  </si>
  <si>
    <t>SR30BB-204616</t>
  </si>
  <si>
    <t>SR30BB-209477</t>
  </si>
  <si>
    <t>SR30BB-227621</t>
  </si>
  <si>
    <t>SR30BB-104792</t>
  </si>
  <si>
    <t>SR30BB-230009</t>
  </si>
  <si>
    <t>SE30BB-104261</t>
  </si>
  <si>
    <t>Semaine 48</t>
  </si>
  <si>
    <t>MOIS 12</t>
  </si>
  <si>
    <t>B.L 165 (Malala)</t>
  </si>
  <si>
    <t>FENONANDRASANA</t>
  </si>
  <si>
    <t>Tojonirna Mahefasoa</t>
  </si>
  <si>
    <t>Lot 2KC 05 Ambohidahy</t>
  </si>
  <si>
    <t>/0330846536</t>
  </si>
  <si>
    <t>JOSEPH</t>
  </si>
  <si>
    <t>Weckene Andronéo</t>
  </si>
  <si>
    <t xml:space="preserve">Lot 122 Ter P/celle 12/14 Tanamakoa </t>
  </si>
  <si>
    <t>/0347173305</t>
  </si>
  <si>
    <t xml:space="preserve">RAJAONARISON </t>
  </si>
  <si>
    <t>Ednie Berthelin</t>
  </si>
  <si>
    <t>Lot J39 Secteur 3 Tanambao - Antalaha</t>
  </si>
  <si>
    <t>/0340266907</t>
  </si>
  <si>
    <t>ANDRIANAMBININTSOA</t>
  </si>
  <si>
    <t>Lot 1/RMI Analakely</t>
  </si>
  <si>
    <t>/0332441370</t>
  </si>
  <si>
    <t>Hajalalaina Mathieu</t>
  </si>
  <si>
    <t>FSI 29 D Soamananety 105 Ambohidratrimo</t>
  </si>
  <si>
    <t>/0347308696</t>
  </si>
  <si>
    <t>B.L 203</t>
  </si>
  <si>
    <t>Andravoahangy Tana V</t>
  </si>
  <si>
    <t>B.L 204</t>
  </si>
  <si>
    <t>B.L 205</t>
  </si>
  <si>
    <t>RANDRIATAVY</t>
  </si>
  <si>
    <t>Safidy Andry</t>
  </si>
  <si>
    <t>Lot VB 80 D Ambatoroka</t>
  </si>
  <si>
    <t>/0347444030</t>
  </si>
  <si>
    <t>B.L 206</t>
  </si>
  <si>
    <t>Brenda</t>
  </si>
  <si>
    <t>RAZAFINDRATELO</t>
  </si>
  <si>
    <t>Lot 03 867 D Tsarafara</t>
  </si>
  <si>
    <t>/0347720892</t>
  </si>
  <si>
    <t>-------</t>
  </si>
  <si>
    <t>Fac_457</t>
  </si>
  <si>
    <t>Semaine 49</t>
  </si>
  <si>
    <t>Semaine 50</t>
  </si>
  <si>
    <t>RARIVOSON</t>
  </si>
  <si>
    <t xml:space="preserve">Daprico Harnito </t>
  </si>
  <si>
    <t xml:space="preserve">Lot II A S Antaninandro Ampandrana </t>
  </si>
  <si>
    <t>/0327626809</t>
  </si>
  <si>
    <t>Lot 03 253 D Tsarafara Sab-Nam</t>
  </si>
  <si>
    <t>RALAIARISOA</t>
  </si>
  <si>
    <t xml:space="preserve">Iandry Lalaina </t>
  </si>
  <si>
    <t>ANO 178 Antsapandrano</t>
  </si>
  <si>
    <t>/0331622791</t>
  </si>
  <si>
    <t xml:space="preserve">RANDRIAMANANA </t>
  </si>
  <si>
    <t>Armand</t>
  </si>
  <si>
    <t>Ambohijanaka - Anjozorobe</t>
  </si>
  <si>
    <t>/0331457328</t>
  </si>
  <si>
    <t xml:space="preserve">RASOLOARIVONY </t>
  </si>
  <si>
    <t xml:space="preserve">Raholiarilala Miadana </t>
  </si>
  <si>
    <t>Lot AB 472 - D Ampitatafika / Tana II</t>
  </si>
  <si>
    <t>/0344112673</t>
  </si>
  <si>
    <t>Arizo Xander</t>
  </si>
  <si>
    <t xml:space="preserve">Lot VN S2 Bis M Ambanidia </t>
  </si>
  <si>
    <t>/0344472612</t>
  </si>
  <si>
    <t>III T 113 Ter AB Anosibe</t>
  </si>
  <si>
    <t>/0333270582</t>
  </si>
  <si>
    <t xml:space="preserve">RABEHARINTSOA </t>
  </si>
  <si>
    <t>Alfred</t>
  </si>
  <si>
    <t>Lot IVK 87 Anosivavaka</t>
  </si>
  <si>
    <t>/0331470924 - /0320242274</t>
  </si>
  <si>
    <t>RANDRIAMITANTSOA</t>
  </si>
  <si>
    <t>Nahary</t>
  </si>
  <si>
    <t>AB 77 Ter Ampitatafika</t>
  </si>
  <si>
    <t>/0346677436</t>
  </si>
  <si>
    <t>Semaine 51</t>
  </si>
  <si>
    <t xml:space="preserve">Lalaina Fanirisoa Olivier </t>
  </si>
  <si>
    <t>III V3 D Anosizato Est I</t>
  </si>
  <si>
    <t>/0341976236</t>
  </si>
  <si>
    <t xml:space="preserve">TOKINIAINA </t>
  </si>
  <si>
    <t>Fenosoa Dieudonné</t>
  </si>
  <si>
    <t xml:space="preserve">IC 230 Bis Ankaraobato - Tanjombato </t>
  </si>
  <si>
    <t>/0342938318</t>
  </si>
  <si>
    <t>Semaine 52</t>
  </si>
  <si>
    <t>(Tojo)</t>
  </si>
  <si>
    <t>SE25AA-115739</t>
  </si>
  <si>
    <t>B.L 207</t>
  </si>
  <si>
    <t>RAMANAMAHEFA ANDRIAMANDIMBY</t>
  </si>
  <si>
    <t>Rija Sandratravo</t>
  </si>
  <si>
    <t>Lot I 25 I 1 Ilaivola - Ivato</t>
  </si>
  <si>
    <t>/0331595256</t>
  </si>
  <si>
    <t xml:space="preserve">RALIJAONA </t>
  </si>
  <si>
    <t>Andrianary</t>
  </si>
  <si>
    <t>Lot 117V 236 Iavoloha</t>
  </si>
  <si>
    <t>/0349078777</t>
  </si>
  <si>
    <t xml:space="preserve">RANDRIANARITINA </t>
  </si>
  <si>
    <t>Raymond</t>
  </si>
  <si>
    <t>Amborovy</t>
  </si>
  <si>
    <t>/0344856362</t>
  </si>
  <si>
    <t>MOIS 13</t>
  </si>
  <si>
    <t>Semaine 53</t>
  </si>
  <si>
    <t xml:space="preserve">Olivier </t>
  </si>
  <si>
    <t>II H 12 Ra Bis Ankadindramamy</t>
  </si>
  <si>
    <t>/0349683372</t>
  </si>
  <si>
    <t>Tsy nalainy indray fa niova Racing lery</t>
  </si>
  <si>
    <t>S.v.t - B.L 207</t>
  </si>
  <si>
    <t>E3E4E-320929</t>
  </si>
  <si>
    <t>RAVELONARIVO</t>
  </si>
  <si>
    <t>Fanomezantsoa Marie Fidèle</t>
  </si>
  <si>
    <t xml:space="preserve">Lot 170 cité Ambanilalana Itaosy </t>
  </si>
  <si>
    <t>/0324587726</t>
  </si>
  <si>
    <t>E3B9E-418665</t>
  </si>
  <si>
    <t>E3B9E-416880</t>
  </si>
  <si>
    <t>E3B9E-424103</t>
  </si>
  <si>
    <t>E3B9E-418467</t>
  </si>
  <si>
    <t>SR25AA-100356</t>
  </si>
  <si>
    <t>SE25AA-118936</t>
  </si>
  <si>
    <t xml:space="preserve">RANDRIANIAINA </t>
  </si>
  <si>
    <t>Todisoa Joseph</t>
  </si>
  <si>
    <t>Lot III S 144 L bis Ouest Manajara</t>
  </si>
  <si>
    <t>/0349543118</t>
  </si>
  <si>
    <t>RANDRIANALIMALALA</t>
  </si>
  <si>
    <t>Ando Maminiaina</t>
  </si>
  <si>
    <t>Lot Ivk 90 Ankadifotsy Antanifotsy</t>
  </si>
  <si>
    <t>/0342829651</t>
  </si>
  <si>
    <t>Semaine 54</t>
  </si>
  <si>
    <t>(manjatiana)</t>
  </si>
  <si>
    <t xml:space="preserve">Izaizy Merci </t>
  </si>
  <si>
    <t>II A 89 Bis A Anjanahary</t>
  </si>
  <si>
    <t>/0346818899</t>
  </si>
  <si>
    <t>Lot 125 I 1 Ilaivola - Ivato Firaisana</t>
  </si>
  <si>
    <t xml:space="preserve"> SR30BB-101347</t>
  </si>
  <si>
    <t xml:space="preserve">MAHAKASA </t>
  </si>
  <si>
    <t>Adjay</t>
  </si>
  <si>
    <t>Atsimontsena</t>
  </si>
  <si>
    <t>/0348342837</t>
  </si>
  <si>
    <t>RAFETISON</t>
  </si>
  <si>
    <t xml:space="preserve">Nirina </t>
  </si>
  <si>
    <t>Tsarahafatra- Ampefy</t>
  </si>
  <si>
    <t>/0344087911</t>
  </si>
  <si>
    <t xml:space="preserve">Zo Nirina </t>
  </si>
  <si>
    <t>Namehana</t>
  </si>
  <si>
    <t>/0349041870</t>
  </si>
  <si>
    <t>Semaine 55</t>
  </si>
  <si>
    <t>king be regler</t>
  </si>
  <si>
    <t>SE25AA-144837</t>
  </si>
  <si>
    <t>Joseph Rossy</t>
  </si>
  <si>
    <t>Lot IVI 166 Tsaramasay</t>
  </si>
  <si>
    <t>/0345706920</t>
  </si>
  <si>
    <t>vendu par voara (amboditsiry)</t>
  </si>
  <si>
    <t>FAC 326</t>
  </si>
  <si>
    <t>ANDRIATAHIANANIRINTSOA</t>
  </si>
  <si>
    <t>Zoely</t>
  </si>
  <si>
    <t>Analamahitsy</t>
  </si>
  <si>
    <t>/0340017796</t>
  </si>
  <si>
    <t xml:space="preserve">SOAVINARENA </t>
  </si>
  <si>
    <t xml:space="preserve">Mahatsanga Casimir </t>
  </si>
  <si>
    <t>Toliara - Centre</t>
  </si>
  <si>
    <t>/0345874713</t>
  </si>
  <si>
    <t>ANDRIAMIFIDY</t>
  </si>
  <si>
    <t xml:space="preserve">Lanto Niaina </t>
  </si>
  <si>
    <t>Lot 76 FI Ambohitravao</t>
  </si>
  <si>
    <t>/0341282015</t>
  </si>
  <si>
    <t>RAZAFIMAHEFA</t>
  </si>
  <si>
    <t>Tsarahonenana fkt Tsarahonenana</t>
  </si>
  <si>
    <t>/0324000163</t>
  </si>
  <si>
    <t>SR25AA-108116</t>
  </si>
  <si>
    <t>RABEARISON</t>
  </si>
  <si>
    <t>Haingo Lalasoa Angélina</t>
  </si>
  <si>
    <t>Lot 116 P/celle 13/72 Tanambao V</t>
  </si>
  <si>
    <t>/0341150872</t>
  </si>
  <si>
    <t>Semaine 56</t>
  </si>
  <si>
    <t>Jaona Tantely</t>
  </si>
  <si>
    <t>Lot 67/25 Bis Soamanandrariny</t>
  </si>
  <si>
    <t>/0348558537</t>
  </si>
  <si>
    <t>SG20KA-120277</t>
  </si>
  <si>
    <t>ISSOUFALY</t>
  </si>
  <si>
    <t>Alcazard Tristanis</t>
  </si>
  <si>
    <t>Lot 76 cité Ambodin'isotry</t>
  </si>
  <si>
    <t>SE25AA-146421</t>
  </si>
  <si>
    <t>SR30BB-226572</t>
  </si>
  <si>
    <t>SJ25EC-107042</t>
  </si>
  <si>
    <t>SE25AA-109163</t>
  </si>
  <si>
    <t>SD25UA-213880</t>
  </si>
  <si>
    <t>SD25UA-231905</t>
  </si>
  <si>
    <t>SD25UA-230329</t>
  </si>
  <si>
    <t>SD25UA-201970</t>
  </si>
  <si>
    <t>SD25UA-122835</t>
  </si>
  <si>
    <t>SD25UA-228301</t>
  </si>
  <si>
    <t>SR25AA-108571</t>
  </si>
  <si>
    <t>SR25AD-101436</t>
  </si>
  <si>
    <t>Semaine 57</t>
  </si>
  <si>
    <t>NDRIAMPA DAVIDSON</t>
  </si>
  <si>
    <t>Serge Angelo</t>
  </si>
  <si>
    <t>109 ak 5</t>
  </si>
  <si>
    <t xml:space="preserve">Jarina Nasoavina </t>
  </si>
  <si>
    <t>Tsarahasina Lot 166 B 11 D</t>
  </si>
  <si>
    <t>/0342689538</t>
  </si>
  <si>
    <t>RANDRIAMASIMANANA</t>
  </si>
  <si>
    <t xml:space="preserve">Solo Rija </t>
  </si>
  <si>
    <t>II C 25 Manjakaray</t>
  </si>
  <si>
    <t>/0333206596</t>
  </si>
  <si>
    <t>ANDRIAMIHAJA</t>
  </si>
  <si>
    <t>Vonjisoa</t>
  </si>
  <si>
    <t xml:space="preserve">IGC 06 Soamiandalana </t>
  </si>
  <si>
    <t>/0342124683</t>
  </si>
  <si>
    <t>Ny Ravonirina Maherisoa</t>
  </si>
  <si>
    <t>II V 90 Ampandrana Besarety</t>
  </si>
  <si>
    <t>/0331768606</t>
  </si>
  <si>
    <t>TOJONIHERIFANOMEZANA</t>
  </si>
  <si>
    <t>Raymond Mohamed</t>
  </si>
  <si>
    <t>Andohatapenaka III</t>
  </si>
  <si>
    <t>/0345703442</t>
  </si>
  <si>
    <t xml:space="preserve">ANDRIANIAINA </t>
  </si>
  <si>
    <t>Sedra</t>
  </si>
  <si>
    <t>IPB 81 Bis Itasoy</t>
  </si>
  <si>
    <t>/0343373484</t>
  </si>
  <si>
    <t>RAZAFINDRAKOTO RAKOTOSON</t>
  </si>
  <si>
    <t>Anjara Fanamby</t>
  </si>
  <si>
    <t>Lot III H k 12 Ter Antohomadinika - Atsimo</t>
  </si>
  <si>
    <t>/0346203789</t>
  </si>
  <si>
    <t>B.L 49</t>
  </si>
  <si>
    <t>RJA</t>
  </si>
  <si>
    <t>SJ25EA-106075</t>
  </si>
  <si>
    <t xml:space="preserve">RAJAONALISOA </t>
  </si>
  <si>
    <t xml:space="preserve">Lot 105 Ter 6 -KS IVAto </t>
  </si>
  <si>
    <t>/0345792606</t>
  </si>
  <si>
    <t>YAMAHA CYGNUS I</t>
  </si>
  <si>
    <t>E377E-312321</t>
  </si>
  <si>
    <t>E377E-303103</t>
  </si>
  <si>
    <t>SE25AB-100868</t>
  </si>
  <si>
    <t>SR30BB-221017</t>
  </si>
  <si>
    <t xml:space="preserve">RANDRIANARISAONA </t>
  </si>
  <si>
    <t>Mirado Alain Thiery</t>
  </si>
  <si>
    <t xml:space="preserve">Lot IVP 36 Ankadifotsy - Befelatanana </t>
  </si>
  <si>
    <t>/0340655722</t>
  </si>
  <si>
    <t>Velson Rado Hery</t>
  </si>
  <si>
    <t>Lot b 402 Bis Anatihazo Isotry</t>
  </si>
  <si>
    <t>/0347340521</t>
  </si>
  <si>
    <t>RALANTOMAHEFA</t>
  </si>
  <si>
    <t xml:space="preserve">Mamy </t>
  </si>
  <si>
    <t>II I 35 Ter Alarobia</t>
  </si>
  <si>
    <t>/0343221322</t>
  </si>
  <si>
    <t>YAMAHA CYGNUS 1</t>
  </si>
  <si>
    <t>RAFIDIARISON</t>
  </si>
  <si>
    <t xml:space="preserve">Edino Ny Aina </t>
  </si>
  <si>
    <t>E 57 Bis Ambohibao</t>
  </si>
  <si>
    <t>/0330222971</t>
  </si>
  <si>
    <t>Semaine 58</t>
  </si>
  <si>
    <t>MOIS 14</t>
  </si>
  <si>
    <t>Semaine 59</t>
  </si>
  <si>
    <t>Tsiory Tahinjanahary</t>
  </si>
  <si>
    <t>Près II F 13 Tsenakely Andraisoro</t>
  </si>
  <si>
    <t>4NF062020(N° Cadre: SA165-930209)</t>
  </si>
  <si>
    <t>AIF06472</t>
  </si>
  <si>
    <t>RAHERINIRINA</t>
  </si>
  <si>
    <t>Mamitiana Eugène</t>
  </si>
  <si>
    <t>ND IPT 73 Antanety Bemasoandro</t>
  </si>
  <si>
    <t>/0341862867</t>
  </si>
  <si>
    <t>Jean François Emilien</t>
  </si>
  <si>
    <t>Antsimondrova Ambatondrazaka</t>
  </si>
  <si>
    <t>/0320719411</t>
  </si>
  <si>
    <t>SC36AE-103378</t>
  </si>
  <si>
    <t>RAKOTOARINELINA</t>
  </si>
  <si>
    <t xml:space="preserve">Andrinantenaina </t>
  </si>
  <si>
    <t>154 Manjaka Ankadikely</t>
  </si>
  <si>
    <t>/0345454933</t>
  </si>
  <si>
    <t xml:space="preserve">HANDRIANAIVOTSOA </t>
  </si>
  <si>
    <t>Fely</t>
  </si>
  <si>
    <t xml:space="preserve">Anjaratsimiova Ampitatafika </t>
  </si>
  <si>
    <t>/0342401059</t>
  </si>
  <si>
    <t>RASOANAIVO ANDRIAMANARIVO</t>
  </si>
  <si>
    <t>Rajo Paraniaina</t>
  </si>
  <si>
    <t xml:space="preserve">Lot IAI 163 B Antsahamasina </t>
  </si>
  <si>
    <t>/0349981809</t>
  </si>
  <si>
    <t>Andy Kevin Manavotra</t>
  </si>
  <si>
    <t xml:space="preserve">Lot II P 165 Soavinandriana </t>
  </si>
  <si>
    <t xml:space="preserve">RANDRIAMIALISOA </t>
  </si>
  <si>
    <t xml:space="preserve"> Herinjatovo Jaona </t>
  </si>
  <si>
    <t xml:space="preserve">Antanifotsy </t>
  </si>
  <si>
    <t>/0347981230</t>
  </si>
  <si>
    <t>/0331422188</t>
  </si>
  <si>
    <t>Andriatsoa Toky Romain</t>
  </si>
  <si>
    <t>VS 54 FKB Ambolokandrina</t>
  </si>
  <si>
    <t>/0343659003</t>
  </si>
  <si>
    <t>5FR-106718</t>
  </si>
  <si>
    <t>SR25EA-118626</t>
  </si>
  <si>
    <t>SR25EA-120532</t>
  </si>
  <si>
    <t>SR25EA-102468</t>
  </si>
  <si>
    <t>SR30ED-101486</t>
  </si>
  <si>
    <t>SR30ED-101878</t>
  </si>
  <si>
    <t>SR30AC-202966</t>
  </si>
  <si>
    <t>Lot II B 33 H Amboditsiry</t>
  </si>
  <si>
    <t>/0344692520</t>
  </si>
  <si>
    <t>RAKOTOARILALA</t>
  </si>
  <si>
    <t>Narindra Marco</t>
  </si>
  <si>
    <t>Lot M 74 Ter Isahafa Avaratra</t>
  </si>
  <si>
    <t>/0347082949</t>
  </si>
  <si>
    <t>SR25AC-101833</t>
  </si>
  <si>
    <t>RAJOHARIJAONA</t>
  </si>
  <si>
    <t>Lala Tiana</t>
  </si>
  <si>
    <t>II E 14 F Ambohimirary</t>
  </si>
  <si>
    <t>/0345243414</t>
  </si>
  <si>
    <t>SR25AC-209715</t>
  </si>
  <si>
    <t>Faliarisoa Martin Emile</t>
  </si>
  <si>
    <t>Lot 916 67Ha N.O.</t>
  </si>
  <si>
    <t>/0344558627</t>
  </si>
  <si>
    <t>SD25UC-101370</t>
  </si>
  <si>
    <t xml:space="preserve">RASOARIVONY </t>
  </si>
  <si>
    <t>Vololontiana Simone</t>
  </si>
  <si>
    <t xml:space="preserve">Lot C 18-F Antendro Ambohinaorina </t>
  </si>
  <si>
    <t>/0343288549</t>
  </si>
  <si>
    <t>Semaine 60</t>
  </si>
  <si>
    <t xml:space="preserve">Jean Michel </t>
  </si>
  <si>
    <t xml:space="preserve">IDC 53 A Ambohimisaona </t>
  </si>
  <si>
    <t>/0348936785</t>
  </si>
  <si>
    <t>SE25AA-102266</t>
  </si>
  <si>
    <t>Rado Mampionona</t>
  </si>
  <si>
    <t>Ankisatra - Ambatomena</t>
  </si>
  <si>
    <t>/0334237940</t>
  </si>
  <si>
    <t>Nantenaina Njara Severin</t>
  </si>
  <si>
    <t>K IV 105 TER A Ivato - Aeroport</t>
  </si>
  <si>
    <t>/0341742504</t>
  </si>
  <si>
    <t>ANDRIANARIMALALA</t>
  </si>
  <si>
    <t>Jean Janni Finoana</t>
  </si>
  <si>
    <t>III M 8 Andrefan'ambohijanahary</t>
  </si>
  <si>
    <t>/0330978351</t>
  </si>
  <si>
    <t>B.L 212</t>
  </si>
  <si>
    <t>B.L 213</t>
  </si>
  <si>
    <t>LALAINANOMENJANAHARY</t>
  </si>
  <si>
    <t>Francki Rodlish</t>
  </si>
  <si>
    <t>Logt 37 cité Ambodin'Isotry</t>
  </si>
  <si>
    <t>/0334064446</t>
  </si>
  <si>
    <t>B.L 220</t>
  </si>
  <si>
    <t xml:space="preserve">RAMANATSOAVINA HERINIAINA </t>
  </si>
  <si>
    <t>Semaine 61</t>
  </si>
  <si>
    <t>RANDRIAMIFIDY</t>
  </si>
  <si>
    <t>Charles</t>
  </si>
  <si>
    <t>AK 76 II Ter Ankadikely Ilafy</t>
  </si>
  <si>
    <t>/0334914562</t>
  </si>
  <si>
    <t xml:space="preserve">RANDRIANARINORO </t>
  </si>
  <si>
    <t>Tojo Niaina</t>
  </si>
  <si>
    <t>II 0 140 Ter Anjanahary</t>
  </si>
  <si>
    <t>/0333192297</t>
  </si>
  <si>
    <t>SOLOFOMANJATO</t>
  </si>
  <si>
    <t>Nambinina Jenny</t>
  </si>
  <si>
    <t>Lot AB 213 Antanimenakely Ampitatafika</t>
  </si>
  <si>
    <t>/0349682300</t>
  </si>
  <si>
    <t>FIDIHELINTSOA</t>
  </si>
  <si>
    <t>Harivola</t>
  </si>
  <si>
    <t>Soaniadanana Lot 03-393 D</t>
  </si>
  <si>
    <t>/0348531328</t>
  </si>
  <si>
    <t>ANDRIAMBONIMANANA</t>
  </si>
  <si>
    <t>Andry Mampihonina</t>
  </si>
  <si>
    <t>Lot II E 48 GJ Bis Ampanotokana</t>
  </si>
  <si>
    <t>/0334377590</t>
  </si>
  <si>
    <t>RAZAFINJATOVO</t>
  </si>
  <si>
    <t>Hajatiana Narcisse</t>
  </si>
  <si>
    <t>Lot III K 12 C Andavamamba</t>
  </si>
  <si>
    <t>/0338180380</t>
  </si>
  <si>
    <t>MANANTENASOA</t>
  </si>
  <si>
    <t>Sedraniaina Fitahiana</t>
  </si>
  <si>
    <t>Belanitra Lot 219 C</t>
  </si>
  <si>
    <t>/0346244223</t>
  </si>
  <si>
    <t>Ndrianalimanana</t>
  </si>
  <si>
    <t>Lot C 150 D Bis Andranomena</t>
  </si>
  <si>
    <t>/0320365490</t>
  </si>
  <si>
    <t>Fac 513</t>
  </si>
  <si>
    <t>Semaine 62</t>
  </si>
  <si>
    <t>SR30BB-100890</t>
  </si>
  <si>
    <t>SR30BB-201280</t>
  </si>
  <si>
    <t>SR30BB-100130</t>
  </si>
  <si>
    <t>SR25AC-101813</t>
  </si>
  <si>
    <t>SR25AA-102200</t>
  </si>
  <si>
    <t>[NISY 524 ROA]</t>
  </si>
  <si>
    <t>RASOARISOA</t>
  </si>
  <si>
    <t>Iaro Sambatra Niaina</t>
  </si>
  <si>
    <t>Lot II N 81ADE Analamahitsy</t>
  </si>
  <si>
    <t>/0325484980</t>
  </si>
  <si>
    <t>RAKOTONIRASOA</t>
  </si>
  <si>
    <t>Lot IJL 32 69 Bis Itaosy</t>
  </si>
  <si>
    <t>/0340129317</t>
  </si>
  <si>
    <t xml:space="preserve">RALIVAMANANA </t>
  </si>
  <si>
    <t>Edwin</t>
  </si>
  <si>
    <t>Lot AZ 42 A II Anosizato - Ampefiloha</t>
  </si>
  <si>
    <t>/0347403080</t>
  </si>
  <si>
    <t>RABEVELO</t>
  </si>
  <si>
    <t>Herizo Charles Christopher</t>
  </si>
  <si>
    <t>13 38 étage cité 67ha Nord-ouest</t>
  </si>
  <si>
    <t>/0348802730</t>
  </si>
  <si>
    <t>SR30BB-203728</t>
  </si>
  <si>
    <t>SR25AC-100319</t>
  </si>
  <si>
    <t>Semaine 63</t>
  </si>
  <si>
    <t>MOIS 15</t>
  </si>
  <si>
    <t>SR30BB-212152</t>
  </si>
  <si>
    <t>SR25AC-100459</t>
  </si>
  <si>
    <t>SR25EA-126045</t>
  </si>
  <si>
    <t>SR25AA-108582</t>
  </si>
  <si>
    <t>SR25EA-113519</t>
  </si>
  <si>
    <t>SE30AA-103483</t>
  </si>
  <si>
    <t>10/05/D2952020</t>
  </si>
  <si>
    <t>Semaine 64</t>
  </si>
  <si>
    <t>RAZAFIMANDIMBY</t>
  </si>
  <si>
    <t>Juilandrave Bruno</t>
  </si>
  <si>
    <t>SCAMA - C.U. de Diego-Suarez</t>
  </si>
  <si>
    <t>/0328508304</t>
  </si>
  <si>
    <t xml:space="preserve">ANDRIANARISOA </t>
  </si>
  <si>
    <t xml:space="preserve">Bar-Joël </t>
  </si>
  <si>
    <t>III S I44 KJE Andrefan'i Mananjara</t>
  </si>
  <si>
    <t>/0340346125</t>
  </si>
  <si>
    <t>Mario Cyrelle</t>
  </si>
  <si>
    <t>ESCALE HOTEL Antanambe</t>
  </si>
  <si>
    <t>/0340104813</t>
  </si>
  <si>
    <t xml:space="preserve">RANDRIAMANANJARA </t>
  </si>
  <si>
    <t>Hery Zo</t>
  </si>
  <si>
    <t>Lot IVL 248 Cité Ambodin'Isotry</t>
  </si>
  <si>
    <t>/0322756524</t>
  </si>
  <si>
    <t>RANDRIAMBOLOLOMANANTSOA</t>
  </si>
  <si>
    <t xml:space="preserve">Navalona </t>
  </si>
  <si>
    <t>II C 3 Bis Manjakaray</t>
  </si>
  <si>
    <t>/0334342880</t>
  </si>
  <si>
    <t>Radonirina Georges</t>
  </si>
  <si>
    <t>Lot K4 IN 104 Ter 2 Ivato-Aeroport</t>
  </si>
  <si>
    <t>/0349231447</t>
  </si>
  <si>
    <t>B.L. 221</t>
  </si>
  <si>
    <t>Tahianajanahary Julien</t>
  </si>
  <si>
    <t>Lot GIII 15 Soamanandrariny</t>
  </si>
  <si>
    <t>/0343102280</t>
  </si>
  <si>
    <t xml:space="preserve">RAVELOSON </t>
  </si>
  <si>
    <t>Maminiaina Tahiry</t>
  </si>
  <si>
    <t>Logt N°455 Analamahitsy Cité</t>
  </si>
  <si>
    <t>/0341371151</t>
  </si>
  <si>
    <t xml:space="preserve">RANDRIANARIVONY </t>
  </si>
  <si>
    <t>C 40 D Bis Sab/Nam</t>
  </si>
  <si>
    <t xml:space="preserve">RAFANOMEZANTSOA </t>
  </si>
  <si>
    <t>Hantsaniaina</t>
  </si>
  <si>
    <t>Ambatondrazaka</t>
  </si>
  <si>
    <t>/0344866196</t>
  </si>
  <si>
    <t xml:space="preserve">RAZAFINJATOVO </t>
  </si>
  <si>
    <t>Safidy Andrandraina</t>
  </si>
  <si>
    <t xml:space="preserve">CARION Fokontany, Dudit. </t>
  </si>
  <si>
    <t>/0341898150</t>
  </si>
  <si>
    <t xml:space="preserve">RAVONISON </t>
  </si>
  <si>
    <t>Tanjona Alain</t>
  </si>
  <si>
    <t>Lot II A 93 C Anjanahary</t>
  </si>
  <si>
    <t>/0343131647</t>
  </si>
  <si>
    <t>Semaine 65</t>
  </si>
  <si>
    <t>/0344852412/0346796880</t>
  </si>
  <si>
    <t>SE30AH-101506</t>
  </si>
  <si>
    <t>SE25AA-106683</t>
  </si>
  <si>
    <t>SR25EA-120465</t>
  </si>
  <si>
    <t>SD25UC-100550</t>
  </si>
  <si>
    <t xml:space="preserve"> E377E-333882</t>
  </si>
  <si>
    <t>Semaine 66</t>
  </si>
  <si>
    <t>MOIS 16</t>
  </si>
  <si>
    <t>&lt;= B Brut</t>
  </si>
  <si>
    <t>TOTAL GLO MOTO VENDU=&gt;</t>
  </si>
  <si>
    <t>SR30BB-208372</t>
  </si>
  <si>
    <t>SR25EA-121210</t>
  </si>
  <si>
    <t>SE30AH-100806</t>
  </si>
  <si>
    <t>Semaine 67</t>
  </si>
  <si>
    <t>SR30BB-208468</t>
  </si>
  <si>
    <t>SR30BB-204550</t>
  </si>
  <si>
    <t>SR30BB-104445</t>
  </si>
  <si>
    <t>SR30BB-104090</t>
  </si>
  <si>
    <t>Semaine 67'</t>
  </si>
  <si>
    <t>RPSS 01</t>
  </si>
  <si>
    <t>Randimby</t>
  </si>
  <si>
    <t>Mahavatse I Toliara</t>
  </si>
  <si>
    <t>/0341920866</t>
  </si>
  <si>
    <t>306742 / 307824</t>
  </si>
  <si>
    <t>LML VESPA</t>
  </si>
  <si>
    <t>Ni Rado Mamy</t>
  </si>
  <si>
    <t>Lot IJA 557 Ambodivoly Avaratra Antsimondrano</t>
  </si>
  <si>
    <t>/0349540575</t>
  </si>
  <si>
    <t>SD25UA-128045</t>
  </si>
  <si>
    <t>Anjaratiana Nomena</t>
  </si>
  <si>
    <t>Lot IVM 121 AIA Antetezanafovoany</t>
  </si>
  <si>
    <t>/0344160192</t>
  </si>
  <si>
    <t>E377E-333882</t>
  </si>
  <si>
    <t>RASOLOFONIRINA</t>
  </si>
  <si>
    <t>Sandy Navalona</t>
  </si>
  <si>
    <t>Villa Dilu Providence Antanamalandy Mahajanga</t>
  </si>
  <si>
    <t>/0341338407</t>
  </si>
  <si>
    <t>MAZAVANIRINA</t>
  </si>
  <si>
    <t>Abdon Maximin</t>
  </si>
  <si>
    <t>Andoharanofotsy</t>
  </si>
  <si>
    <t>/0331401315</t>
  </si>
  <si>
    <t xml:space="preserve">RANDRIANARIJAONA </t>
  </si>
  <si>
    <t>Ny Toky Mamy Antonio</t>
  </si>
  <si>
    <t>Logement 107 cité 67ha Sud</t>
  </si>
  <si>
    <t>/0343516536</t>
  </si>
  <si>
    <t>RAMILIJAONJATOVO</t>
  </si>
  <si>
    <t>Santatra Tianamalala</t>
  </si>
  <si>
    <t>II N 174 P Bis Analamahitsy</t>
  </si>
  <si>
    <t>/0336108824</t>
  </si>
  <si>
    <t>E3B9E-604720</t>
  </si>
  <si>
    <t>RANAIVOSON</t>
  </si>
  <si>
    <t>Niriniaina Anthonio</t>
  </si>
  <si>
    <t>Lot IAB 10A Ambodihady</t>
  </si>
  <si>
    <t>/0349349329</t>
  </si>
  <si>
    <t xml:space="preserve">RATIHARISON </t>
  </si>
  <si>
    <t>Eva Christiane</t>
  </si>
  <si>
    <t>P12 A Sud Ambohipo</t>
  </si>
  <si>
    <t>/0341445265</t>
  </si>
  <si>
    <t>RAVAKINIAINA</t>
  </si>
  <si>
    <t>Rota Fionamalala</t>
  </si>
  <si>
    <t>Lot IC 108 Ter Ankadilalampotsy</t>
  </si>
  <si>
    <t>/0345706333</t>
  </si>
  <si>
    <t>RAJOHNSON</t>
  </si>
  <si>
    <t>Rpnald Tahiry</t>
  </si>
  <si>
    <t>Lot V A 32 L Tsiadana</t>
  </si>
  <si>
    <t>/0343783899</t>
  </si>
  <si>
    <t>Rina Mamy</t>
  </si>
  <si>
    <t>Lot IAC 32 A Ambohidrapeto</t>
  </si>
  <si>
    <t>/0347178262</t>
  </si>
  <si>
    <t>SR25FC-109702</t>
  </si>
  <si>
    <t>RANDRIAMIELISON</t>
  </si>
  <si>
    <t xml:space="preserve">Andry Niaina </t>
  </si>
  <si>
    <t>Lot MB 189 Mahabo Andoharanofotsy</t>
  </si>
  <si>
    <t>/0340158826</t>
  </si>
  <si>
    <t xml:space="preserve">ANDRIAMBALA </t>
  </si>
  <si>
    <t>Manitriniaina</t>
  </si>
  <si>
    <t>IVY 314 Bis Ampangabe Anjanakinifolo</t>
  </si>
  <si>
    <t>/0331422368</t>
  </si>
  <si>
    <t>RAFAMANTANANTSOA</t>
  </si>
  <si>
    <t xml:space="preserve">Ambinina Elie </t>
  </si>
  <si>
    <t>Lot IAH 14 Ter A Avaratsena Ambohidrapeto</t>
  </si>
  <si>
    <t>/0330621219</t>
  </si>
  <si>
    <t>Semaine 68</t>
  </si>
  <si>
    <t>SR30BB-238573</t>
  </si>
  <si>
    <t>SE30BB-104849</t>
  </si>
  <si>
    <t>SR30BB-202007</t>
  </si>
  <si>
    <t>SR30BB-102970</t>
  </si>
  <si>
    <t>SR30BB-244618</t>
  </si>
  <si>
    <t>SR30BB-205972</t>
  </si>
  <si>
    <t>SR30BB-249929</t>
  </si>
  <si>
    <t>Semaine 69</t>
  </si>
  <si>
    <t>SR30BB-208953</t>
  </si>
  <si>
    <t>Lot IVL 58 Mandilaza-Ambodivona</t>
  </si>
  <si>
    <t>ANDRIAFANOMEZANTSOA</t>
  </si>
  <si>
    <t>Soloniaina Stephanie</t>
  </si>
  <si>
    <t>Lot VR 6 Ankazotokana</t>
  </si>
  <si>
    <t>/0347750003</t>
  </si>
  <si>
    <t>RATSIMBAZAFY</t>
  </si>
  <si>
    <t>Tanambao Ville Basse Fianarantsoa</t>
  </si>
  <si>
    <t>/0345015816</t>
  </si>
  <si>
    <t>ANDRINIMANANA</t>
  </si>
  <si>
    <t>Vokatsoa Guy Eugène Raoulson</t>
  </si>
  <si>
    <t>Manakambahiny Lot V 025 AF</t>
  </si>
  <si>
    <t>/0343111006</t>
  </si>
  <si>
    <t xml:space="preserve">RAKOTOSON </t>
  </si>
  <si>
    <t>Elisoa Tojo</t>
  </si>
  <si>
    <t>Lot II B 56 Faravohitra Mandrosoa</t>
  </si>
  <si>
    <t>/0340150371</t>
  </si>
  <si>
    <t>Lot IPB 50 Ambonisoa Itaosy</t>
  </si>
  <si>
    <t>ANDRIANAVALONA</t>
  </si>
  <si>
    <t>Ange Tiana Arnaud</t>
  </si>
  <si>
    <t>VQ1 Ter Bis Ankadivory</t>
  </si>
  <si>
    <t>/0346885976</t>
  </si>
  <si>
    <t>CHAN-WAN-KONG</t>
  </si>
  <si>
    <t>Andriantsoa Brice Jordan</t>
  </si>
  <si>
    <t>II M 45 CA Ter Andrianalefy</t>
  </si>
  <si>
    <t>/0349077475</t>
  </si>
  <si>
    <t>SR25*1000990*</t>
  </si>
  <si>
    <t>RAKOTONDRAMANANA</t>
  </si>
  <si>
    <t>Ny Aina Herimandranto</t>
  </si>
  <si>
    <t>II N 23 Bis Analamahitsy</t>
  </si>
  <si>
    <t>/0341249717</t>
  </si>
  <si>
    <t>RATOVOARISOA</t>
  </si>
  <si>
    <t>Andrianina Cédric</t>
  </si>
  <si>
    <t>II B 122 Mahalavolona</t>
  </si>
  <si>
    <t>/0340151909</t>
  </si>
  <si>
    <t>4DM-097089</t>
  </si>
  <si>
    <t xml:space="preserve">YAMAHA JOG 4 </t>
  </si>
  <si>
    <t>Faniry Lalaniaina</t>
  </si>
  <si>
    <t>Lot 187 AI Ambohimangakely</t>
  </si>
  <si>
    <t>/0345052383</t>
  </si>
  <si>
    <t>E3B9E-488416</t>
  </si>
  <si>
    <t xml:space="preserve">YAMAHA CYGNUS </t>
  </si>
  <si>
    <t xml:space="preserve">Serge </t>
  </si>
  <si>
    <t xml:space="preserve">Sambava - Centre </t>
  </si>
  <si>
    <t>/0346471502</t>
  </si>
  <si>
    <t>Semaine 70</t>
  </si>
  <si>
    <t>MOIS 17</t>
  </si>
  <si>
    <t>Semaine 71</t>
  </si>
  <si>
    <t>SARA &amp; Cie</t>
  </si>
  <si>
    <t xml:space="preserve"> -</t>
  </si>
  <si>
    <t xml:space="preserve"> - </t>
  </si>
  <si>
    <t>P.K 04 Avenue General RATSIMANDRAVA</t>
  </si>
  <si>
    <t>/0320553810</t>
  </si>
  <si>
    <t>Semaine 72</t>
  </si>
  <si>
    <t>YAMAHA GTR AERO</t>
  </si>
  <si>
    <t>E3E5E-456095</t>
  </si>
  <si>
    <t>SR30BB-263577</t>
  </si>
  <si>
    <t>SR30BB-227682</t>
  </si>
  <si>
    <t>SD25UA-105280</t>
  </si>
  <si>
    <t>SD25UA-217082</t>
  </si>
  <si>
    <t>SD25UA-116006</t>
  </si>
  <si>
    <t>SD25UC-109430</t>
  </si>
  <si>
    <t>Semaine 73</t>
  </si>
  <si>
    <t>SR30BB-201877 ANCIEN -&gt; NEW ...205101</t>
  </si>
  <si>
    <t>SD25VC-100359</t>
  </si>
  <si>
    <t>Semaine 74</t>
  </si>
  <si>
    <t>MOIS 18</t>
  </si>
  <si>
    <t>SR30BB-128795</t>
  </si>
  <si>
    <t xml:space="preserve">RAKOTOBE </t>
  </si>
  <si>
    <t>Mamy Haribenja</t>
  </si>
  <si>
    <t>Lot III X 172 Manarintsoa - Atsinanana</t>
  </si>
  <si>
    <t>/0341664915</t>
  </si>
  <si>
    <t>RATSIMBA ANDRIAMIADANARIVO</t>
  </si>
  <si>
    <t>Hosea</t>
  </si>
  <si>
    <t>Lot IVE 25 ter Anosisoa</t>
  </si>
  <si>
    <t>/0341911901</t>
  </si>
  <si>
    <t>RANDRIAMAMPIONONA</t>
  </si>
  <si>
    <t>Tojoniaina Antsanirina</t>
  </si>
  <si>
    <t>Lot ITS 34 Beravina Andranonahotra</t>
  </si>
  <si>
    <t>/0343927412</t>
  </si>
  <si>
    <t>RASOANALITERA</t>
  </si>
  <si>
    <t>Falinirina Herimanitra</t>
  </si>
  <si>
    <t>IVA 18 Bis Ankeniheny</t>
  </si>
  <si>
    <t>/0340145395</t>
  </si>
  <si>
    <t>RANDRIAMIHARISON</t>
  </si>
  <si>
    <t>Njaratina Patrick</t>
  </si>
  <si>
    <t>Lot C8 F Bis Antendro - Sab Nam</t>
  </si>
  <si>
    <t>/0341574075</t>
  </si>
  <si>
    <t xml:space="preserve">ANDRIAMANGA </t>
  </si>
  <si>
    <t xml:space="preserve">Tokiniaina Steven </t>
  </si>
  <si>
    <t>Lot A 149 Imanga Sab Nam</t>
  </si>
  <si>
    <t>/0341851818</t>
  </si>
  <si>
    <t xml:space="preserve">RANDRIAMAMPIANINA </t>
  </si>
  <si>
    <t>Christian Yves</t>
  </si>
  <si>
    <t>Amborovy - Mahabibo/ Majunga</t>
  </si>
  <si>
    <t>/0342713137</t>
  </si>
  <si>
    <t>E3B5E-456095</t>
  </si>
  <si>
    <t xml:space="preserve">YAMAHA GTR AERO </t>
  </si>
  <si>
    <t>Lalaina Mihaja Sarobidy</t>
  </si>
  <si>
    <t>Lot IJA 607 Ambavahaditokana Itaosy</t>
  </si>
  <si>
    <t>/0342497627</t>
  </si>
  <si>
    <t>RANDIMBISON</t>
  </si>
  <si>
    <t>d'Arc Placide Felix</t>
  </si>
  <si>
    <t>Lot K3 / 038 Ivato</t>
  </si>
  <si>
    <t>/0349095465</t>
  </si>
  <si>
    <t>5PD - 117586</t>
  </si>
  <si>
    <t xml:space="preserve">YAMAHA RS </t>
  </si>
  <si>
    <t xml:space="preserve">RAVELOHARISON </t>
  </si>
  <si>
    <t xml:space="preserve">Hariniaina Olivier Gabriel </t>
  </si>
  <si>
    <t>Lot II N 44 Bis Analamahitsy</t>
  </si>
  <si>
    <t>/0344956720</t>
  </si>
  <si>
    <t>Olivier (Ra Oli)</t>
  </si>
  <si>
    <t>SD25VC- 100359</t>
  </si>
  <si>
    <t>B.L 223</t>
  </si>
  <si>
    <t>Lot II c3 Bis Manjakaray</t>
  </si>
  <si>
    <t>Semaine 75</t>
  </si>
  <si>
    <t>REMARQUE</t>
  </si>
  <si>
    <t>Semaine 76</t>
  </si>
  <si>
    <t>SR30AC-102802</t>
  </si>
  <si>
    <t>SR25EA-129839</t>
  </si>
  <si>
    <t>SE25AA-122752</t>
  </si>
  <si>
    <t>E377E-405372</t>
  </si>
  <si>
    <t>E377E-328047</t>
  </si>
  <si>
    <t>5TY-213271</t>
  </si>
  <si>
    <t>SR30ED-101608</t>
  </si>
  <si>
    <t>SM</t>
  </si>
  <si>
    <t>SR25AD-102711</t>
  </si>
  <si>
    <t>Semaine 77</t>
  </si>
  <si>
    <t xml:space="preserve">RAKOTOARIMANANA </t>
  </si>
  <si>
    <t xml:space="preserve">Jean Pierre </t>
  </si>
  <si>
    <t>Lot IE 104 Ter Ilafy - Avaradrano</t>
  </si>
  <si>
    <t>/0347155248</t>
  </si>
  <si>
    <t>RADOSON</t>
  </si>
  <si>
    <t>Jean Bienvenu</t>
  </si>
  <si>
    <t xml:space="preserve">Lot B 340 Andranomanalina I </t>
  </si>
  <si>
    <t>/0349170813</t>
  </si>
  <si>
    <t xml:space="preserve">RAKOTONDRALAMBO </t>
  </si>
  <si>
    <t xml:space="preserve">Juan Eric </t>
  </si>
  <si>
    <t>LOT 572 Cité Ambodin'Isotry</t>
  </si>
  <si>
    <t>/0340216412 / 0320416412</t>
  </si>
  <si>
    <t xml:space="preserve">RANDRIAMALALA ANJA </t>
  </si>
  <si>
    <t>Haritiana</t>
  </si>
  <si>
    <t>IL 101 ITAOSY - TANA / Atsimondrano</t>
  </si>
  <si>
    <t>/0341110629</t>
  </si>
  <si>
    <t>Hanitriniaina Onimalala</t>
  </si>
  <si>
    <t>220 FAIV Manjaka Ilafy</t>
  </si>
  <si>
    <t>/0344510226</t>
  </si>
  <si>
    <t xml:space="preserve">RASOLOFONIRINA </t>
  </si>
  <si>
    <t>RANDRIAMANDIMBY</t>
  </si>
  <si>
    <t>Tojosoa Norbert</t>
  </si>
  <si>
    <t>LOT FMAI 112 A Bis 67 HA SUD</t>
  </si>
  <si>
    <t>/0341503062</t>
  </si>
  <si>
    <t>4DM-016087</t>
  </si>
  <si>
    <t xml:space="preserve">YAMAHA JOG </t>
  </si>
  <si>
    <t xml:space="preserve">TOLOJANAHARY </t>
  </si>
  <si>
    <t>Leo Charly Privat</t>
  </si>
  <si>
    <t>Lot F II 114 Ambohimangakely</t>
  </si>
  <si>
    <t>/0347741890</t>
  </si>
  <si>
    <t>SR25AB-116448</t>
  </si>
  <si>
    <t>Eric Anselme</t>
  </si>
  <si>
    <t>/0340869865</t>
  </si>
  <si>
    <t>ANDRIANATOLOTRA</t>
  </si>
  <si>
    <t>Mamitiana Jean Eric</t>
  </si>
  <si>
    <t>Lot II O 47 Bis Anjanahary</t>
  </si>
  <si>
    <t>/0344332215</t>
  </si>
  <si>
    <t>SR25AE-129839</t>
  </si>
  <si>
    <t>Noël</t>
  </si>
  <si>
    <t>Lot V I 85 Bis XHB Andohanimandroseza</t>
  </si>
  <si>
    <t>/0346893150</t>
  </si>
  <si>
    <t>Semaine 78</t>
  </si>
  <si>
    <t>SR25EA-103157</t>
  </si>
  <si>
    <t>SE25AA-109808</t>
  </si>
  <si>
    <t>SR25AA-203375</t>
  </si>
  <si>
    <t>SE25AA-105202</t>
  </si>
  <si>
    <t>5TY-201475</t>
  </si>
  <si>
    <t>Semaine 79</t>
  </si>
  <si>
    <t>MOIS 19</t>
  </si>
  <si>
    <t>Semaine 80</t>
  </si>
  <si>
    <t>SR30BB-259577</t>
  </si>
  <si>
    <t>SR30BB-249812</t>
  </si>
  <si>
    <t>SR30BB-244395</t>
  </si>
  <si>
    <t>SR30BB-106055</t>
  </si>
  <si>
    <t>SR30BB-231418</t>
  </si>
  <si>
    <t>SE30BB-103583</t>
  </si>
  <si>
    <t>SR25AA-106649</t>
  </si>
  <si>
    <t>SR25AA-200600</t>
  </si>
  <si>
    <t>SR25AA-102360</t>
  </si>
  <si>
    <t>SR25AA-104639</t>
  </si>
  <si>
    <t>Semaine 81</t>
  </si>
  <si>
    <t>RAVELOSON ANDRIAMAMITIANA</t>
  </si>
  <si>
    <t>Jean Ive Thierry</t>
  </si>
  <si>
    <t>Lot A 98 Ter G Ambohitrarahaba</t>
  </si>
  <si>
    <t>/0345452482</t>
  </si>
  <si>
    <t xml:space="preserve">RANAIVOSON </t>
  </si>
  <si>
    <t>Mamisoa Fetra Joëlson</t>
  </si>
  <si>
    <t>26 Bis Morarano P/celle 21-11 Toamasina</t>
  </si>
  <si>
    <t>/0320705219</t>
  </si>
  <si>
    <t>RATAVAO</t>
  </si>
  <si>
    <t>Solofoariniaina Samoela</t>
  </si>
  <si>
    <t>Lot III P 29 Ter Ankaditoho Maroroho</t>
  </si>
  <si>
    <t>/0344000778</t>
  </si>
  <si>
    <t xml:space="preserve">ANDRIANJAFIMBOLA </t>
  </si>
  <si>
    <t xml:space="preserve">Andriantsivery </t>
  </si>
  <si>
    <t>112 Tanetibe Sabotsy Namehana</t>
  </si>
  <si>
    <t>/0343144390</t>
  </si>
  <si>
    <t xml:space="preserve">RAJAONIRINA </t>
  </si>
  <si>
    <t xml:space="preserve">Avotriniaina </t>
  </si>
  <si>
    <t xml:space="preserve">RAFALIMANANA </t>
  </si>
  <si>
    <t xml:space="preserve">Safidy Jean Olivier </t>
  </si>
  <si>
    <t>Antsirinala FKT - Dudit</t>
  </si>
  <si>
    <t>/0343860648</t>
  </si>
  <si>
    <t xml:space="preserve">RATSIMANOVASOA </t>
  </si>
  <si>
    <t xml:space="preserve">Miora </t>
  </si>
  <si>
    <t>Antaninandro - Ampandrana II K 18</t>
  </si>
  <si>
    <t>/0337338018</t>
  </si>
  <si>
    <t>SR30ED-110793</t>
  </si>
  <si>
    <t xml:space="preserve">RAJAONARIVELO MANDIMBY NOMENA </t>
  </si>
  <si>
    <t xml:space="preserve">Angelo </t>
  </si>
  <si>
    <t xml:space="preserve">Lot K 31 - Ivato </t>
  </si>
  <si>
    <t>/0327890535</t>
  </si>
  <si>
    <t>C448M*20130007*</t>
  </si>
  <si>
    <t>PIAGGIO</t>
  </si>
  <si>
    <t>VAHIAKO</t>
  </si>
  <si>
    <t>IVN 54 Andohotapenaka</t>
  </si>
  <si>
    <t>/0340405633</t>
  </si>
  <si>
    <t>Roger Francky</t>
  </si>
  <si>
    <t>RABEZANAHARY</t>
  </si>
  <si>
    <t xml:space="preserve">Mitiana Romaric Sarobidy </t>
  </si>
  <si>
    <t xml:space="preserve">Antsahamasina - Antanifotsy </t>
  </si>
  <si>
    <t>/0341407365</t>
  </si>
  <si>
    <t xml:space="preserve">FITIA </t>
  </si>
  <si>
    <t xml:space="preserve">Hery Marc Nirina </t>
  </si>
  <si>
    <t>IAN 20 D Marobiby</t>
  </si>
  <si>
    <t xml:space="preserve">IRIMIAKATRARIVO HARISON </t>
  </si>
  <si>
    <t>Nirina Seheno</t>
  </si>
  <si>
    <t xml:space="preserve">Lot II C 9 Bis Manjakaray </t>
  </si>
  <si>
    <t>/0347004555</t>
  </si>
  <si>
    <t xml:space="preserve">RANDRIAMANAMPISONA </t>
  </si>
  <si>
    <t xml:space="preserve">Jean Patrick </t>
  </si>
  <si>
    <t>Miarinarivo - Itasy</t>
  </si>
  <si>
    <t>/0348631985</t>
  </si>
  <si>
    <t xml:space="preserve">Ravo Lalaina </t>
  </si>
  <si>
    <t>FAD 25 Bis Ankadivory</t>
  </si>
  <si>
    <t>/0331193223</t>
  </si>
  <si>
    <t>B.L 226</t>
  </si>
  <si>
    <t xml:space="preserve">Antonio Lois </t>
  </si>
  <si>
    <t xml:space="preserve">II F 22 A Andraisoro </t>
  </si>
  <si>
    <t>/0337828938</t>
  </si>
  <si>
    <t>B.L 227</t>
  </si>
  <si>
    <t>Anjaranomena Yves Michaël</t>
  </si>
  <si>
    <t xml:space="preserve">Lot II 344 0 Ambohitrinimanga </t>
  </si>
  <si>
    <t>/0340587456</t>
  </si>
  <si>
    <t>Semaine 82</t>
  </si>
  <si>
    <t>5TY-109816</t>
  </si>
  <si>
    <t>SR30BB-210571</t>
  </si>
  <si>
    <t>SR30BB-241255</t>
  </si>
  <si>
    <t>SR30BB-211129</t>
  </si>
  <si>
    <t>SR30BB-247448</t>
  </si>
  <si>
    <t>SE30BB-102409</t>
  </si>
  <si>
    <t>SR30BB-218811</t>
  </si>
  <si>
    <t>SR30BB-222712</t>
  </si>
  <si>
    <t>SR30BB-104573</t>
  </si>
  <si>
    <t>SR30BB-102595</t>
  </si>
  <si>
    <t>Date d'arrivée</t>
  </si>
  <si>
    <t>Semaine 83</t>
  </si>
  <si>
    <t xml:space="preserve">RAKOTOFIRINGA RAKOTOVAO </t>
  </si>
  <si>
    <t>Nirhy Lanto Joseph</t>
  </si>
  <si>
    <t xml:space="preserve">Lot ITG 41 Ambaniala </t>
  </si>
  <si>
    <t>/0331454610</t>
  </si>
  <si>
    <t>RAZAFIMAHASOA</t>
  </si>
  <si>
    <t>Mandravaka sarah Estella</t>
  </si>
  <si>
    <t>Ambovombe Androy</t>
  </si>
  <si>
    <t>/0330747162</t>
  </si>
  <si>
    <t>SC36AE-310951</t>
  </si>
  <si>
    <t>RANDRIAMAHENINTSOA</t>
  </si>
  <si>
    <t>Ando Alitiana</t>
  </si>
  <si>
    <t>/0325815292</t>
  </si>
  <si>
    <t>RANDRIANATOANDRO</t>
  </si>
  <si>
    <t>Ando Niaina</t>
  </si>
  <si>
    <t>Lot AF8 Bis Imanga Sabotsy Namehana</t>
  </si>
  <si>
    <t>/0340390802</t>
  </si>
  <si>
    <t>SC30*1000212*</t>
  </si>
  <si>
    <t xml:space="preserve">RAKOTONAIVO </t>
  </si>
  <si>
    <t>Tanjona Nambinina</t>
  </si>
  <si>
    <t>Lot II A 28 Ter K Amboditsiry</t>
  </si>
  <si>
    <t>/0342525718</t>
  </si>
  <si>
    <t xml:space="preserve">RAJOELISON </t>
  </si>
  <si>
    <t xml:space="preserve">Rindratahiry Romeo Silvere </t>
  </si>
  <si>
    <t>Lot 003 E Bis Ambohibao Antehiroka</t>
  </si>
  <si>
    <t>/0349600173</t>
  </si>
  <si>
    <t xml:space="preserve">RASOLONJATOVO </t>
  </si>
  <si>
    <t>Hery</t>
  </si>
  <si>
    <t>Lot Près III G14 Ampivarotanomby</t>
  </si>
  <si>
    <t>/0340031127</t>
  </si>
  <si>
    <t>Tsaina Joharimanana</t>
  </si>
  <si>
    <t>Lot II N 184 M Bis Analamahitsy</t>
  </si>
  <si>
    <t>/0331307305</t>
  </si>
  <si>
    <t>RAKOTOMAHAIAVY</t>
  </si>
  <si>
    <t xml:space="preserve">Aina Jaona </t>
  </si>
  <si>
    <t>II R 50 VAB Ambohitrakely</t>
  </si>
  <si>
    <t>/0344486205</t>
  </si>
  <si>
    <t>SE25AA-142498</t>
  </si>
  <si>
    <t>RANIVOARISON</t>
  </si>
  <si>
    <t>Bruno Hervé</t>
  </si>
  <si>
    <t>Lot II E 69 JC Tsarahonenana</t>
  </si>
  <si>
    <t>/0345111414</t>
  </si>
  <si>
    <t>B.L 224</t>
  </si>
  <si>
    <t>RAMANADRAY</t>
  </si>
  <si>
    <t>Jean Michel</t>
  </si>
  <si>
    <t>LOT II A 18 F Amboditsiry</t>
  </si>
  <si>
    <t>/0340791649</t>
  </si>
  <si>
    <t>B.L 225</t>
  </si>
  <si>
    <t xml:space="preserve">RATRIMOSALAMA </t>
  </si>
  <si>
    <t>Fanomezantsoa Tiana Mahefa Franck</t>
  </si>
  <si>
    <t>III F 23 BIS Antohomadinika avaratra</t>
  </si>
  <si>
    <t>/0332007683</t>
  </si>
  <si>
    <t>Semaine 84</t>
  </si>
  <si>
    <t>CLASSIFIED</t>
  </si>
  <si>
    <t xml:space="preserve"> 4SG / 000202</t>
  </si>
  <si>
    <t>RASOARAIBE</t>
  </si>
  <si>
    <t>Marianah Lino</t>
  </si>
  <si>
    <t>Lot S2 166 B Soavina</t>
  </si>
  <si>
    <t>/0342856344</t>
  </si>
  <si>
    <t>RAMAROSON</t>
  </si>
  <si>
    <t>Jean Yves Bernard</t>
  </si>
  <si>
    <t>IVA 145 Bis Ankeniheny</t>
  </si>
  <si>
    <t>/0337646362</t>
  </si>
  <si>
    <t>SE25AA-135045</t>
  </si>
  <si>
    <t xml:space="preserve">RAMANANTOANINA </t>
  </si>
  <si>
    <t>Hervé Joseph</t>
  </si>
  <si>
    <t>Lot 060 Bis AB1 K4 Ivato Aeroport</t>
  </si>
  <si>
    <t>/0340351672</t>
  </si>
  <si>
    <t xml:space="preserve">RAKOTOARISOA </t>
  </si>
  <si>
    <t>Tsiry Celin</t>
  </si>
  <si>
    <t xml:space="preserve"> Lot A 73 - Manarintsoa Afovoany</t>
  </si>
  <si>
    <t>/0344313225</t>
  </si>
  <si>
    <t xml:space="preserve">RANDRIAFIANTRANA </t>
  </si>
  <si>
    <t xml:space="preserve">Heriniaina </t>
  </si>
  <si>
    <t>Log IV 24 Maibahoaka</t>
  </si>
  <si>
    <t>/0345247380</t>
  </si>
  <si>
    <t xml:space="preserve">RATOVOARISOA </t>
  </si>
  <si>
    <t>Harimamy Johann</t>
  </si>
  <si>
    <t>II B 124 Bis Mahalavolona - Andohoranofotsy</t>
  </si>
  <si>
    <t>/0327025365</t>
  </si>
  <si>
    <t>Lantoniaina Princy</t>
  </si>
  <si>
    <t>B I 43 Mandrosoa Ilafy</t>
  </si>
  <si>
    <t>/0345519001</t>
  </si>
  <si>
    <t xml:space="preserve">Tojonirina </t>
  </si>
  <si>
    <t>/0347449814</t>
  </si>
  <si>
    <t>Tolomparany</t>
  </si>
  <si>
    <t>Lot II B 79 A Amboditsiry</t>
  </si>
  <si>
    <t>/0332414434</t>
  </si>
  <si>
    <t xml:space="preserve">RATSIRAHONANA </t>
  </si>
  <si>
    <t xml:space="preserve">Barilalaharijaona </t>
  </si>
  <si>
    <t>Près II A 78 SAA Ambatomainty</t>
  </si>
  <si>
    <t>/0346164302</t>
  </si>
  <si>
    <t>Semaine 85</t>
  </si>
  <si>
    <t xml:space="preserve">VENDU </t>
  </si>
  <si>
    <t>MOIS 20</t>
  </si>
  <si>
    <t>RANDRIAMALALA</t>
  </si>
  <si>
    <t>SR25EA-120012</t>
  </si>
  <si>
    <t>SR25EA-111262</t>
  </si>
  <si>
    <t>SR25EA-101978</t>
  </si>
  <si>
    <t>SR25EA-101780</t>
  </si>
  <si>
    <t>SR25EA-106531</t>
  </si>
  <si>
    <t>SR25EA-104562</t>
  </si>
  <si>
    <t>Semaine 86</t>
  </si>
  <si>
    <t>Semaine 87</t>
  </si>
  <si>
    <t>SR30BB-253290</t>
  </si>
  <si>
    <t>SR30BB-311713</t>
  </si>
  <si>
    <t>SR30BB-310222</t>
  </si>
  <si>
    <t>SR30BB-232139</t>
  </si>
  <si>
    <t>SR30BB-209747</t>
  </si>
  <si>
    <t>FA 196 Ambohimanatrika Tanjombato</t>
  </si>
  <si>
    <t>Lot III K40 Bis Andavamamba</t>
  </si>
  <si>
    <t>/0340121956</t>
  </si>
  <si>
    <t>Toky Herimisa</t>
  </si>
  <si>
    <t>Emmanuel</t>
  </si>
  <si>
    <t>Lot IVG 12 Bis Ambohidahy</t>
  </si>
  <si>
    <t>/0344909842</t>
  </si>
  <si>
    <t>SC36AE-100390</t>
  </si>
  <si>
    <t>RANDRIANANDRASANA</t>
  </si>
  <si>
    <t>Maminirina Angelin</t>
  </si>
  <si>
    <t>Lot VG 24 G Bis Ambatoroka</t>
  </si>
  <si>
    <t>/0325131119</t>
  </si>
  <si>
    <t>ANDRIAMIARA</t>
  </si>
  <si>
    <t>Niaina Mickael</t>
  </si>
  <si>
    <t>Lot 126 BI Ambohimangakely</t>
  </si>
  <si>
    <t>/0340841539</t>
  </si>
  <si>
    <t>Miarotiana Stephan Samoelina</t>
  </si>
  <si>
    <t>II A 89 M Anjanahary</t>
  </si>
  <si>
    <t>/0327214024</t>
  </si>
  <si>
    <t>E394E-106121</t>
  </si>
  <si>
    <t>ANDRIAMIANAMIHAJA</t>
  </si>
  <si>
    <t>Aina Michaela</t>
  </si>
  <si>
    <t>Lot BV4T Beravina Tsarahonenana</t>
  </si>
  <si>
    <t>/0324321959</t>
  </si>
  <si>
    <t>SJ25EA-100221</t>
  </si>
  <si>
    <t>Andomiora Valerie</t>
  </si>
  <si>
    <t>II M 44 VAA Androhibe</t>
  </si>
  <si>
    <t>/0344501130</t>
  </si>
  <si>
    <t>RAJERINIRINA</t>
  </si>
  <si>
    <t>Nantenaina</t>
  </si>
  <si>
    <t>Lot 03 496 D Soaniadanana</t>
  </si>
  <si>
    <t>RABOANA</t>
  </si>
  <si>
    <t>Andriantsoa Maheritiana</t>
  </si>
  <si>
    <t>Lot III J 42 Andavamamba</t>
  </si>
  <si>
    <t>/0345371277</t>
  </si>
  <si>
    <t>Todisoa Finaritra</t>
  </si>
  <si>
    <t>Lot II F 34 Ter A Andavamamba</t>
  </si>
  <si>
    <t>/0347459708</t>
  </si>
  <si>
    <t>RAMANGALAHY</t>
  </si>
  <si>
    <t>Mbolafy Benjamina</t>
  </si>
  <si>
    <t>Lot II P TER Besarety</t>
  </si>
  <si>
    <t>/0345758831</t>
  </si>
  <si>
    <t>SR30EE-100408</t>
  </si>
  <si>
    <t>SR30ED-112509</t>
  </si>
  <si>
    <t>ANDRIVOLOLONA</t>
  </si>
  <si>
    <t>Aina Hery Fanantenana</t>
  </si>
  <si>
    <t>Ambatofotsy Ambohimalaza Miray</t>
  </si>
  <si>
    <t>/0348328363</t>
  </si>
  <si>
    <t>ANDRIANOME</t>
  </si>
  <si>
    <t>Onjaniaina</t>
  </si>
  <si>
    <t>Lot VK 69 Bis B Ambatolava</t>
  </si>
  <si>
    <t>/0346533378</t>
  </si>
  <si>
    <t>RANAIVOMANANA</t>
  </si>
  <si>
    <t>Tovo</t>
  </si>
  <si>
    <t>Lot II G 3 Ter CY Ambatomaro</t>
  </si>
  <si>
    <t>/0324063319</t>
  </si>
  <si>
    <t>ANDRIAMBOLATIANA</t>
  </si>
  <si>
    <t>Nomenjanahary Rabarijaona</t>
  </si>
  <si>
    <t>Lot IPN 18 Bis Ambanilalana Itaosy</t>
  </si>
  <si>
    <t>/0331718180</t>
  </si>
  <si>
    <t>Semaine 88</t>
  </si>
  <si>
    <t>Semaine 89</t>
  </si>
  <si>
    <t>SR30FA-113206</t>
  </si>
  <si>
    <t>B.L 229</t>
  </si>
  <si>
    <t>ANDRIAMAMPITA</t>
  </si>
  <si>
    <t>Sergio</t>
  </si>
  <si>
    <t>196 A Andranoro</t>
  </si>
  <si>
    <t>/0345623088</t>
  </si>
  <si>
    <t>Lanto Arisoa</t>
  </si>
  <si>
    <t>Lot AV 187 TER Vinany Itaosy</t>
  </si>
  <si>
    <t>/0340835760</t>
  </si>
  <si>
    <t>SR30ED-117516</t>
  </si>
  <si>
    <t>Mamitiana Ericka</t>
  </si>
  <si>
    <t>VR 30 D Bis Mahazoarivo</t>
  </si>
  <si>
    <t>/0324453430</t>
  </si>
  <si>
    <t>RAONITSOA</t>
  </si>
  <si>
    <t>Lot AVB 18 Ter A Avarabohitra Itaosy</t>
  </si>
  <si>
    <t>/0322269396</t>
  </si>
  <si>
    <t>Rija  Tiana</t>
  </si>
  <si>
    <t>Lot II B  31 Z 05 Miakadaza</t>
  </si>
  <si>
    <t>/0330262420</t>
  </si>
  <si>
    <t>SR25EA-112965</t>
  </si>
  <si>
    <t>RATSIMANIRIMANANA</t>
  </si>
  <si>
    <t>Herizo Olivier</t>
  </si>
  <si>
    <t xml:space="preserve">Lot II B 95 Bis CA Amboditsiry </t>
  </si>
  <si>
    <t>/0341268235</t>
  </si>
  <si>
    <t>4UF-116479</t>
  </si>
  <si>
    <t>Hasina Nirina</t>
  </si>
  <si>
    <t xml:space="preserve">Lot III E 51 Mahamasina Atsimo </t>
  </si>
  <si>
    <t>/0349271210</t>
  </si>
  <si>
    <t>RANDRIAMANJAKA</t>
  </si>
  <si>
    <t>Elijonah</t>
  </si>
  <si>
    <t>Lot II N 93 Ter Analamahitsy Tanana</t>
  </si>
  <si>
    <t>/0346387856</t>
  </si>
  <si>
    <t>Semaine 90</t>
  </si>
  <si>
    <t>MOIS 21</t>
  </si>
  <si>
    <t>Semaine 91</t>
  </si>
  <si>
    <t>SR25AC-102592</t>
  </si>
  <si>
    <t>Semaine 92</t>
  </si>
  <si>
    <t>MOIS 22</t>
  </si>
  <si>
    <t>SE30BA-100128</t>
  </si>
  <si>
    <t>SR30BB-404803</t>
  </si>
  <si>
    <t>SR30BB-240683</t>
  </si>
  <si>
    <t>SR30BB-239705</t>
  </si>
  <si>
    <t>SR30BB-206167</t>
  </si>
  <si>
    <t>SR30BB-235876</t>
  </si>
  <si>
    <t>SR30BB-251643</t>
  </si>
  <si>
    <t>SR25AC-102980</t>
  </si>
  <si>
    <t>SR25AD-201285</t>
  </si>
  <si>
    <t>SR30BB-500109</t>
  </si>
  <si>
    <t>SR25AD-101825</t>
  </si>
  <si>
    <t>SR25AC-102837</t>
  </si>
  <si>
    <t>RANDRIATSARAFARA</t>
  </si>
  <si>
    <t>Ifaharana</t>
  </si>
  <si>
    <t>1566/2E Etage 67Ha N-E</t>
  </si>
  <si>
    <t>/0330420196</t>
  </si>
  <si>
    <t>Harisoa Nambinina</t>
  </si>
  <si>
    <t>Lot III F9 ABA Antohamadinika</t>
  </si>
  <si>
    <t>/0340239152</t>
  </si>
  <si>
    <t>5TY-204960</t>
  </si>
  <si>
    <t>GOULAMHOUSSEN</t>
  </si>
  <si>
    <t>Galib Jordy</t>
  </si>
  <si>
    <t>Marovato Abattoir Mahajanga</t>
  </si>
  <si>
    <t>/0324898128</t>
  </si>
  <si>
    <t>RAKOTOARIMANGA</t>
  </si>
  <si>
    <t>Mitsinjo</t>
  </si>
  <si>
    <t>FVB 69 Ambaniavaratra Fenoarivo</t>
  </si>
  <si>
    <t>/0321173412</t>
  </si>
  <si>
    <t>ANDRIANARIMANANA</t>
  </si>
  <si>
    <t>Itokiana</t>
  </si>
  <si>
    <t>II A 105 Bis Nanisana</t>
  </si>
  <si>
    <t>/0345701959</t>
  </si>
  <si>
    <t>SR30GC-105425</t>
  </si>
  <si>
    <t xml:space="preserve">KYMCO G6 </t>
  </si>
  <si>
    <t>RAFENOMANANTSOA</t>
  </si>
  <si>
    <t>Tsiory Toavina</t>
  </si>
  <si>
    <t>IVE 178 Bis Tsarafaritra</t>
  </si>
  <si>
    <t>/0345054296</t>
  </si>
  <si>
    <t>5FJ-110550</t>
  </si>
  <si>
    <t>Herivolatiana Naaloniaina Fifaliana</t>
  </si>
  <si>
    <t>IPF 03 Ter AB Ambohijafy</t>
  </si>
  <si>
    <t>/0340343404</t>
  </si>
  <si>
    <t>SAMOELIMILY</t>
  </si>
  <si>
    <t>Jeremia</t>
  </si>
  <si>
    <t>Betala Morarano Chrome</t>
  </si>
  <si>
    <t>/0341602700</t>
  </si>
  <si>
    <t>SR25AA-108020</t>
  </si>
  <si>
    <t>RASOAMAHARO</t>
  </si>
  <si>
    <t>Onjamampionona Olivarès</t>
  </si>
  <si>
    <t>Lot IVC 175 Ambodivoanjo</t>
  </si>
  <si>
    <t>/0340973115</t>
  </si>
  <si>
    <t>SR25AD-201420</t>
  </si>
  <si>
    <t>SR30BB-242561</t>
  </si>
  <si>
    <t>RAKOTOZOELY</t>
  </si>
  <si>
    <t>Henintsoa</t>
  </si>
  <si>
    <t>Lot 6 BIV Ambohimangakely</t>
  </si>
  <si>
    <t>/0341258450</t>
  </si>
  <si>
    <t>Hasina Andriatsitohaina</t>
  </si>
  <si>
    <t>/0346634855</t>
  </si>
  <si>
    <t>SD25*5500529*</t>
  </si>
  <si>
    <t>RANDRIANAHINA</t>
  </si>
  <si>
    <t>Nomena Anjara Antoka</t>
  </si>
  <si>
    <t>Lot II B 44 Amboditsiry</t>
  </si>
  <si>
    <t>/0347488379</t>
  </si>
  <si>
    <t>RAKOTONDRAFARA</t>
  </si>
  <si>
    <t>Tsikiniaina Sanda Fanasina</t>
  </si>
  <si>
    <t>Lot 03 699 D Ambohitrangano</t>
  </si>
  <si>
    <t>/0342958920</t>
  </si>
  <si>
    <t>Heriherivony Guillaume</t>
  </si>
  <si>
    <t>II B 122 Bis Mahalavolona</t>
  </si>
  <si>
    <t>/0331218414</t>
  </si>
  <si>
    <t>ND IPJ 02 Anjazamihira</t>
  </si>
  <si>
    <t>RABEARIVONY</t>
  </si>
  <si>
    <t>Nirina Iandrianina</t>
  </si>
  <si>
    <t>Lot I G 59 Ter AC Ambatomaro</t>
  </si>
  <si>
    <t>/0348070714</t>
  </si>
  <si>
    <t>RABEARISOA TSIHOARANA</t>
  </si>
  <si>
    <t>Luc</t>
  </si>
  <si>
    <t>B 11 Antsirinala MORAMANGA</t>
  </si>
  <si>
    <t>/0348402908</t>
  </si>
  <si>
    <t>SR30BB-205388</t>
  </si>
  <si>
    <t>MEVATIA</t>
  </si>
  <si>
    <t>Semaine 93</t>
  </si>
  <si>
    <t>SR25AA-209725</t>
  </si>
  <si>
    <t>Mandimbisoa Fanilo</t>
  </si>
  <si>
    <t>Semaine 94</t>
  </si>
  <si>
    <t>Steph</t>
  </si>
  <si>
    <t>Sera Occaz</t>
  </si>
  <si>
    <t>Semaine 95</t>
  </si>
  <si>
    <t>SR30BB-00109</t>
  </si>
  <si>
    <t>RAOINIHANJARIMANANA</t>
  </si>
  <si>
    <t>Fanja Nirina</t>
  </si>
  <si>
    <t>AZ 51 B Ambanimaso Anosizato Ouest</t>
  </si>
  <si>
    <t>/0340626766</t>
  </si>
  <si>
    <t>SR30ED-110029</t>
  </si>
  <si>
    <t>Log 978 67ha NO</t>
  </si>
  <si>
    <t>RABEZAMARIMINO</t>
  </si>
  <si>
    <t>Livakanto</t>
  </si>
  <si>
    <t>A 70 Bis Andranovelona</t>
  </si>
  <si>
    <t>/0346746978</t>
  </si>
  <si>
    <t>RAKOTONANDRASANA</t>
  </si>
  <si>
    <t>Lanto Nirina</t>
  </si>
  <si>
    <t>Lot ITR 70 Bis Andranonahoatra</t>
  </si>
  <si>
    <t>/0343830408</t>
  </si>
  <si>
    <t>SR30BB-229827</t>
  </si>
  <si>
    <t>RIVONIAINA</t>
  </si>
  <si>
    <t>Tojo Andriambolatiana</t>
  </si>
  <si>
    <t>/0340922459</t>
  </si>
  <si>
    <t>Lot II M 44 Androhibe</t>
  </si>
  <si>
    <t>670'</t>
  </si>
  <si>
    <t>RAMIHARIVOLA</t>
  </si>
  <si>
    <t>Adérence</t>
  </si>
  <si>
    <t>Lot 27 B 22 A Mahazoarivo Nord</t>
  </si>
  <si>
    <t>/0323783152</t>
  </si>
  <si>
    <t>SC36AE-109217</t>
  </si>
  <si>
    <t>RAVONIMANDIMBY</t>
  </si>
  <si>
    <t>Aina Manohisoa</t>
  </si>
  <si>
    <t>Ambolokandrina</t>
  </si>
  <si>
    <t>/0331540455</t>
  </si>
  <si>
    <t>E377E-318135</t>
  </si>
  <si>
    <t>TOKINIRINA</t>
  </si>
  <si>
    <t>Jean Jacques</t>
  </si>
  <si>
    <t>AZ 51 T Anosizato Ouest</t>
  </si>
  <si>
    <t>/0324734577</t>
  </si>
  <si>
    <t>Rivoniaina</t>
  </si>
  <si>
    <t>Ambohimangidy Lot 244 B2</t>
  </si>
  <si>
    <t>/0337269222</t>
  </si>
  <si>
    <t>SC36AE-300589</t>
  </si>
  <si>
    <t>/0325815232</t>
  </si>
  <si>
    <t>ANDRIAMBOLOLONIAINA</t>
  </si>
  <si>
    <t>Réné</t>
  </si>
  <si>
    <t>Andrakajaho FKT Soamandray</t>
  </si>
  <si>
    <t>/0344704781</t>
  </si>
  <si>
    <t>SR30BD-101249</t>
  </si>
  <si>
    <t>RANDRIAMBAOVONJY</t>
  </si>
  <si>
    <t>Avotra Andry Michael</t>
  </si>
  <si>
    <t>Lot 195 NJO Mahatsinjo</t>
  </si>
  <si>
    <t>/0349196870</t>
  </si>
  <si>
    <t>SR30BB-256729</t>
  </si>
  <si>
    <t>RASOLONARIVO</t>
  </si>
  <si>
    <t>Miafara Velombolatiana</t>
  </si>
  <si>
    <t>Lot A 57 Ter Manarintsoa Centre</t>
  </si>
  <si>
    <t>/0342670073</t>
  </si>
  <si>
    <t>Andriamboahanginiaina Ravosoa</t>
  </si>
  <si>
    <t>Lot II A 101 Ter H Anjanahary</t>
  </si>
  <si>
    <t>/0349135438</t>
  </si>
  <si>
    <t>RANAIOMANANA</t>
  </si>
  <si>
    <t>Claude Rolland</t>
  </si>
  <si>
    <t>Lot IVY IR Ter Ampangabe</t>
  </si>
  <si>
    <t>/03308557616</t>
  </si>
  <si>
    <t>5TY-211202</t>
  </si>
  <si>
    <t>ANDRIAMANJATO ANDRIAMASIMBOLA</t>
  </si>
  <si>
    <t>Zo Tiana Harinjaka</t>
  </si>
  <si>
    <t>Logt N°186 ité Analamahitsy</t>
  </si>
  <si>
    <t>/0328898645</t>
  </si>
  <si>
    <t>SR25AA-204098</t>
  </si>
  <si>
    <t>RAJAONARISON</t>
  </si>
  <si>
    <t>Faly Nambinintsoa</t>
  </si>
  <si>
    <t>II VB 81 Andraovoahangy Andrefana</t>
  </si>
  <si>
    <t>/0349358009</t>
  </si>
  <si>
    <t>RABENARISOA</t>
  </si>
  <si>
    <t>Tsinjo Manoa</t>
  </si>
  <si>
    <t>Lot CF 44 Ter Faliarivo Ampitatafika</t>
  </si>
  <si>
    <t>/0333170283</t>
  </si>
  <si>
    <t>Semaine 96</t>
  </si>
  <si>
    <t>SR30BB-228788</t>
  </si>
  <si>
    <t>SE30BA-102373</t>
  </si>
  <si>
    <t>SR30BB-404521</t>
  </si>
  <si>
    <t>SR30BB-244130</t>
  </si>
  <si>
    <t>SR30BB-241195</t>
  </si>
  <si>
    <t>SR30BB-305643</t>
  </si>
  <si>
    <t>SR30BB-103343</t>
  </si>
  <si>
    <t>SR30BB-207713</t>
  </si>
  <si>
    <t>SR30BB-207680</t>
  </si>
  <si>
    <t>SR30BB-256438</t>
  </si>
  <si>
    <t>SR30BB-303116</t>
  </si>
  <si>
    <t>SR30BB-104447</t>
  </si>
  <si>
    <t>SR30BB-218611</t>
  </si>
  <si>
    <t>SR30BB-214767</t>
  </si>
  <si>
    <t>SR25AA-204475</t>
  </si>
  <si>
    <t>SE25AA-112838</t>
  </si>
  <si>
    <t>SE25AA-129927</t>
  </si>
  <si>
    <t>SE25AA-139496</t>
  </si>
  <si>
    <t>SE25AA-112073</t>
  </si>
  <si>
    <t>Semaine 97</t>
  </si>
  <si>
    <t xml:space="preserve"> MOIS 23</t>
  </si>
  <si>
    <t>Semaine 98</t>
  </si>
  <si>
    <t>E3B8E-585810</t>
  </si>
  <si>
    <t>Jaona</t>
  </si>
  <si>
    <t>Lot II 527Anjanahary</t>
  </si>
  <si>
    <t>/0341263811</t>
  </si>
  <si>
    <t>E394E-119011</t>
  </si>
  <si>
    <t>Nariniaina Eric Landry</t>
  </si>
  <si>
    <t>III C 104 A Ambanin'Ampamarinana</t>
  </si>
  <si>
    <t>/0340694333</t>
  </si>
  <si>
    <t>RASOLOARIVONY</t>
  </si>
  <si>
    <t>Raholiarilala Miadana</t>
  </si>
  <si>
    <t>Lot AB 472 D Ampitatafika</t>
  </si>
  <si>
    <t>4NF-042233</t>
  </si>
  <si>
    <t>RASOANANTENAINA</t>
  </si>
  <si>
    <t>Rindra Niriana</t>
  </si>
  <si>
    <t>Lot II A10 Amboditsiry</t>
  </si>
  <si>
    <t>/0346451962</t>
  </si>
  <si>
    <t>RAZAFINDRANAIVO</t>
  </si>
  <si>
    <t>Hajanirina</t>
  </si>
  <si>
    <t>VS 54 FBDA Bis Ambolokandrina</t>
  </si>
  <si>
    <t>Mahefaniaina Joelitiana Sarobidy</t>
  </si>
  <si>
    <t>Lot 1120 A 369 Miaramandroso</t>
  </si>
  <si>
    <t>/0347393275</t>
  </si>
  <si>
    <t>/0329443583</t>
  </si>
  <si>
    <t>4DM-074932</t>
  </si>
  <si>
    <t>YAMAHA JOGPRO</t>
  </si>
  <si>
    <t>Mandanirina</t>
  </si>
  <si>
    <t>VR 71 Andafiavaratra</t>
  </si>
  <si>
    <t>/0348093903</t>
  </si>
  <si>
    <t>RAZAFINDRAMILA</t>
  </si>
  <si>
    <t>Solohery Max</t>
  </si>
  <si>
    <t>FA 192 Ambohimanatrika Tanjombato</t>
  </si>
  <si>
    <t>/0341795342</t>
  </si>
  <si>
    <t>RANIVOARILALA</t>
  </si>
  <si>
    <t>Zoelisoa Fanja</t>
  </si>
  <si>
    <t>Fenerive Est</t>
  </si>
  <si>
    <t>/0347413753</t>
  </si>
  <si>
    <t>MANJAKAMANANA</t>
  </si>
  <si>
    <t>Tiantsoa Jonathan</t>
  </si>
  <si>
    <t>II A 28 AM Amboditsiry</t>
  </si>
  <si>
    <t>/0328052516</t>
  </si>
  <si>
    <t>RAMISARIVO</t>
  </si>
  <si>
    <t>Andriatsiferana Rantoniaina</t>
  </si>
  <si>
    <t>Lot II S 43 Bis D Anjanahary</t>
  </si>
  <si>
    <t>Lot IVI 58 Mandilaza Ambodivona</t>
  </si>
  <si>
    <t>THIERRY</t>
  </si>
  <si>
    <t>Theophile</t>
  </si>
  <si>
    <t>Près VS 57 Bis Ambolokandrina</t>
  </si>
  <si>
    <t>/0340430007</t>
  </si>
  <si>
    <t>RANDRIANARIJAONA</t>
  </si>
  <si>
    <t>Rovaniaina</t>
  </si>
  <si>
    <t>Lot ED 09 Bis Antsahatsiresy</t>
  </si>
  <si>
    <t>/0342323532</t>
  </si>
  <si>
    <t>RANDRIAMPENO</t>
  </si>
  <si>
    <t>Vonimanana Framioli Judiael</t>
  </si>
  <si>
    <t>IP B Ambonisoa Itaosy</t>
  </si>
  <si>
    <t>/0348180256</t>
  </si>
  <si>
    <t>MCO TRADE</t>
  </si>
  <si>
    <t>2ème Etage Immeuble PREMIUM Ankorondrano</t>
  </si>
  <si>
    <t>/0341110036</t>
  </si>
  <si>
    <t>5CP-121742</t>
  </si>
  <si>
    <t>Alexandre</t>
  </si>
  <si>
    <t>Lot II M 95 Bis Andraoahangy Est</t>
  </si>
  <si>
    <t>/0344053451</t>
  </si>
  <si>
    <t>4NF-211963</t>
  </si>
  <si>
    <t>YAMAHA ZII</t>
  </si>
  <si>
    <t>Tojo Mampionona</t>
  </si>
  <si>
    <t>Lot II B 33 F Amboditsiry</t>
  </si>
  <si>
    <t>/0320534771</t>
  </si>
  <si>
    <t>Semaine 99</t>
  </si>
  <si>
    <t>Semaine 100</t>
  </si>
  <si>
    <t>Semaine 101</t>
  </si>
  <si>
    <t>SG20KA-314300</t>
  </si>
  <si>
    <t>SG20KA-310988</t>
  </si>
  <si>
    <t>SG20KA-313878</t>
  </si>
  <si>
    <t>SG20KA-123235</t>
  </si>
  <si>
    <t>SG20KA-202127</t>
  </si>
  <si>
    <t>SG20KA-321806</t>
  </si>
  <si>
    <t>SG20KA-228510</t>
  </si>
  <si>
    <t>SG20KA-219227</t>
  </si>
  <si>
    <t>SG20KA-234545</t>
  </si>
  <si>
    <t>SG20KA-321175</t>
  </si>
  <si>
    <t>Semaine 102</t>
  </si>
  <si>
    <t>Semaine 103</t>
  </si>
  <si>
    <t>SAMPILAHY</t>
  </si>
  <si>
    <t>Anicet Désiré</t>
  </si>
  <si>
    <t>Lot 57 Bis Analakinina Toamasina</t>
  </si>
  <si>
    <t>/0344217599</t>
  </si>
  <si>
    <t>4UF-605972</t>
  </si>
  <si>
    <t>Nampoina Valérat</t>
  </si>
  <si>
    <t>Lot ITS 47 Bis Beravina</t>
  </si>
  <si>
    <t>/0346957249</t>
  </si>
  <si>
    <t>TOUSSAINT</t>
  </si>
  <si>
    <t>Mickael Anthony</t>
  </si>
  <si>
    <t>Lot E 88 Bis Mendrikolovana</t>
  </si>
  <si>
    <t>/0344962610</t>
  </si>
  <si>
    <t>Andrianiavo Fanantenana</t>
  </si>
  <si>
    <t>IAK 122 A Marobiby</t>
  </si>
  <si>
    <t>/0342732030</t>
  </si>
  <si>
    <t>SR30FD-103418</t>
  </si>
  <si>
    <t>RABENJA</t>
  </si>
  <si>
    <t>Arsène Bruno</t>
  </si>
  <si>
    <t>AF 69 Sab-Nam</t>
  </si>
  <si>
    <t>/0341345345</t>
  </si>
  <si>
    <t>ANDRIANARIJAO</t>
  </si>
  <si>
    <t>José Liva</t>
  </si>
  <si>
    <t>Lot 27 D Ankadiefajoro Ikanja</t>
  </si>
  <si>
    <t>/0337360077</t>
  </si>
  <si>
    <t>RANDRIANAVALONA</t>
  </si>
  <si>
    <t>Nantenaina Todisoa</t>
  </si>
  <si>
    <t>II J 175 ABI Ivandry</t>
  </si>
  <si>
    <t>/0347645453</t>
  </si>
  <si>
    <t>RAZANAMPARANY</t>
  </si>
  <si>
    <t>Hasina</t>
  </si>
  <si>
    <t>Lot B 66 Ter Andrefatsena Sab-Nam</t>
  </si>
  <si>
    <t>/0337230340</t>
  </si>
  <si>
    <t>Raphael Faniriniaina Nandrianina</t>
  </si>
  <si>
    <t>IPV 28 Bis Ambodiamberivatry</t>
  </si>
  <si>
    <t>/0346898678</t>
  </si>
  <si>
    <t>4UF-036105</t>
  </si>
  <si>
    <t>YAMAHA Jog</t>
  </si>
  <si>
    <t>Njakaharison Dieu Donnée</t>
  </si>
  <si>
    <t>Lot II I 143 A Amboniloha</t>
  </si>
  <si>
    <t>/0343133201</t>
  </si>
  <si>
    <t>SE22BA-120256</t>
  </si>
  <si>
    <t>Felaniriana Rajaonarimparany</t>
  </si>
  <si>
    <t>Lot IC 177 Ter A Ankaraobato</t>
  </si>
  <si>
    <t>/0340734239</t>
  </si>
  <si>
    <t>Miray</t>
  </si>
  <si>
    <t>/0342659634</t>
  </si>
  <si>
    <t>SG2OKA-202127</t>
  </si>
  <si>
    <t>RABARISON</t>
  </si>
  <si>
    <t>Narindra</t>
  </si>
  <si>
    <t>Imerinafovoany Lot 3D</t>
  </si>
  <si>
    <t>Ambatoloana Manjakamiadana</t>
  </si>
  <si>
    <t>/0338998355</t>
  </si>
  <si>
    <t>RAZAFINDRAMPARANY</t>
  </si>
  <si>
    <t>Voahirana Lalaniaina</t>
  </si>
  <si>
    <t>Lot III K 4X Andavamamba</t>
  </si>
  <si>
    <t>/0341680888</t>
  </si>
  <si>
    <t>NOTAHIANJANAHARY</t>
  </si>
  <si>
    <t>Hajarisoa</t>
  </si>
  <si>
    <t>Lot III T 180 CA Mandrangobato II</t>
  </si>
  <si>
    <t>/0347363689</t>
  </si>
  <si>
    <t>Nomena Fahasoavana</t>
  </si>
  <si>
    <t>Lot IA 30 B Aaratsena Talata Volonondry</t>
  </si>
  <si>
    <t>/0346250794</t>
  </si>
  <si>
    <t>SD25UC-100359</t>
  </si>
  <si>
    <t>LE MEZO</t>
  </si>
  <si>
    <t>Marine Anna Marie Louise</t>
  </si>
  <si>
    <t>14CK27578</t>
  </si>
  <si>
    <t>II K 18 Antaninandro Ampandrana</t>
  </si>
  <si>
    <t>/0340692171</t>
  </si>
  <si>
    <t>RAKOTONDRAVELO</t>
  </si>
  <si>
    <t>Lot Près VA 33 N Ter Tsiadana</t>
  </si>
  <si>
    <t>/0333720714</t>
  </si>
  <si>
    <t>RASOARIMALALA</t>
  </si>
  <si>
    <t>Holisoa Marie Prisca</t>
  </si>
  <si>
    <t>Logt 24 Andohaniato Cité</t>
  </si>
  <si>
    <t>/0345104381</t>
  </si>
  <si>
    <t>Lot II P 169 I Avaradoha</t>
  </si>
  <si>
    <t>/0331756709</t>
  </si>
  <si>
    <t>RANDRIANANTOANDRO</t>
  </si>
  <si>
    <t>18 C F1 Manjaka Ilafy</t>
  </si>
  <si>
    <t>/0343140151</t>
  </si>
  <si>
    <t>5HK-608990</t>
  </si>
  <si>
    <t>YAMAHA SUPERFOUR</t>
  </si>
  <si>
    <t>Maminiaina</t>
  </si>
  <si>
    <t>II N 40 A Bis Analamahitsy</t>
  </si>
  <si>
    <t>/0344177222</t>
  </si>
  <si>
    <t>SR30BB-238652</t>
  </si>
  <si>
    <t>Andriamalala Rindra Tiana</t>
  </si>
  <si>
    <t>Lot IDD 008 Ankadivory Ambohitrimanjaka</t>
  </si>
  <si>
    <t>/0340990371</t>
  </si>
  <si>
    <t>RAKOTONDRAVAO</t>
  </si>
  <si>
    <t>Tojo Malala Rivo Tolotra</t>
  </si>
  <si>
    <t>Soamanandrariny 46 Bis</t>
  </si>
  <si>
    <t>/0334541960</t>
  </si>
  <si>
    <t>RAJAONA</t>
  </si>
  <si>
    <t>Solofo Idealy</t>
  </si>
  <si>
    <t>IVH 97 Bis A Ambodivona</t>
  </si>
  <si>
    <t>/0325684331</t>
  </si>
  <si>
    <t>SR30BB-221861</t>
  </si>
  <si>
    <t>SE25AA-129927--&gt;139496</t>
  </si>
  <si>
    <t>SR30BB-245380</t>
  </si>
  <si>
    <t>SR25AA-103140</t>
  </si>
  <si>
    <t>SR30BB-225399</t>
  </si>
  <si>
    <t>SR30BB-217988</t>
  </si>
  <si>
    <t>SR30BB-208339</t>
  </si>
  <si>
    <t>SR30BB-213932</t>
  </si>
  <si>
    <t>Semaine 104</t>
  </si>
  <si>
    <t xml:space="preserve"> MOIS 24</t>
  </si>
  <si>
    <t>SR25AA-101803</t>
  </si>
  <si>
    <t>SR25AA-103359</t>
  </si>
  <si>
    <t>SE25AA-135250</t>
  </si>
  <si>
    <t>SE25AA-123291</t>
  </si>
  <si>
    <t>SE25AA-110148</t>
  </si>
  <si>
    <t>SE25AA-106160</t>
  </si>
  <si>
    <t>Semaine 105</t>
  </si>
  <si>
    <t>KEVIN_KOTL</t>
  </si>
  <si>
    <t>Semaine 106</t>
  </si>
  <si>
    <t>Semaine 107</t>
  </si>
  <si>
    <t>SR30BB-216053</t>
  </si>
  <si>
    <t>SR30BB-209648</t>
  </si>
  <si>
    <t>SR30BB-212966</t>
  </si>
  <si>
    <t>SR30BB-246978</t>
  </si>
  <si>
    <t>SR30BB-235611</t>
  </si>
  <si>
    <t>MIODINA</t>
  </si>
  <si>
    <t>SPECIAL</t>
  </si>
  <si>
    <t>MOIS 25</t>
  </si>
  <si>
    <t>Semaine 108</t>
  </si>
  <si>
    <t>SD25UC-204129</t>
  </si>
  <si>
    <t>Semaine 109</t>
  </si>
  <si>
    <t>SD25UC-301267</t>
  </si>
  <si>
    <t>SD25UA-134818</t>
  </si>
  <si>
    <t>SD25UA-115835</t>
  </si>
  <si>
    <t>SD25UA-119911</t>
  </si>
  <si>
    <t>SD25UA-219979</t>
  </si>
  <si>
    <t>SJ25KA-104351</t>
  </si>
  <si>
    <t>SJ25EA-107318</t>
  </si>
  <si>
    <t>SD25UA-204248</t>
  </si>
  <si>
    <t>SE25AA-129751</t>
  </si>
  <si>
    <t>BARIJAONA</t>
  </si>
  <si>
    <t>Aina Santatra</t>
  </si>
  <si>
    <t>Lot II A B 2 Ter C Andrononobe</t>
  </si>
  <si>
    <t>/0340675001</t>
  </si>
  <si>
    <t>RALAIMAHENINA</t>
  </si>
  <si>
    <t>Mandrosoa Ivato MC 273</t>
  </si>
  <si>
    <t>/0340311226</t>
  </si>
  <si>
    <t>Marie Claude</t>
  </si>
  <si>
    <t>IAG 53 A Antanetibe Itaosy</t>
  </si>
  <si>
    <t>/0343193202</t>
  </si>
  <si>
    <t>RAHAJANANDRASANA</t>
  </si>
  <si>
    <t>Marie Alex</t>
  </si>
  <si>
    <t>Lot II C 113 Manjakaray</t>
  </si>
  <si>
    <t>/0348072944</t>
  </si>
  <si>
    <t>ANDRIAMANANTENASOA</t>
  </si>
  <si>
    <t>Narindraniaina Danielson</t>
  </si>
  <si>
    <t>Lot III T 176 JD Bis Anosibe</t>
  </si>
  <si>
    <t>/0349880860</t>
  </si>
  <si>
    <t>RAZANANTOANINA</t>
  </si>
  <si>
    <t>Bettinah Joelle</t>
  </si>
  <si>
    <t>Ivato Lot K7/356</t>
  </si>
  <si>
    <t>/0348454910</t>
  </si>
  <si>
    <t>Jean Etienne Anthonio</t>
  </si>
  <si>
    <t>Antanambahiny - Vatomandry</t>
  </si>
  <si>
    <t>/0344133457</t>
  </si>
  <si>
    <t xml:space="preserve">SR25AA-103140 </t>
  </si>
  <si>
    <t>RABEMANANTSOA</t>
  </si>
  <si>
    <t>Fidimahefa Mickael</t>
  </si>
  <si>
    <t>Lot IVC 109 Ambatomitsangana</t>
  </si>
  <si>
    <t>/0345409263</t>
  </si>
  <si>
    <t>Lot A42 Bis D Ambohitrarahaba</t>
  </si>
  <si>
    <t>/0345109496</t>
  </si>
  <si>
    <t xml:space="preserve">IANDO </t>
  </si>
  <si>
    <t>Lot III AB 41 Ter Andrononobe</t>
  </si>
  <si>
    <t>/0344660100</t>
  </si>
  <si>
    <t>Romeo</t>
  </si>
  <si>
    <t>Ambohitrarahaba</t>
  </si>
  <si>
    <t>/0341714993</t>
  </si>
  <si>
    <t>4DM-037670</t>
  </si>
  <si>
    <t>Benjamin</t>
  </si>
  <si>
    <t>Lot II M 25 Ter Mahavoky</t>
  </si>
  <si>
    <t>/0326221935</t>
  </si>
  <si>
    <t>RANIVOARIMANANA</t>
  </si>
  <si>
    <t>Hantalalao Marie Espérance</t>
  </si>
  <si>
    <t>Ambodivona FKT Andidy</t>
  </si>
  <si>
    <t>/0324202855</t>
  </si>
  <si>
    <t>5FR-111812</t>
  </si>
  <si>
    <t>Andrianantenaina Sarobidy Alilala</t>
  </si>
  <si>
    <t>Lot IPF 03 Ter AB Ambohijafy</t>
  </si>
  <si>
    <t>/034552583</t>
  </si>
  <si>
    <t xml:space="preserve">Antonio Gaylor </t>
  </si>
  <si>
    <t>AD 66 I Ter Andobotany Ankadikely</t>
  </si>
  <si>
    <t>/0345380411</t>
  </si>
  <si>
    <t>RATSIMISETA</t>
  </si>
  <si>
    <t>Hobiniaina Herizo</t>
  </si>
  <si>
    <t>Lot 140 J Manjaka Ilafy</t>
  </si>
  <si>
    <t>/0341888131</t>
  </si>
  <si>
    <t>SJ25KB-100890</t>
  </si>
  <si>
    <t>ANDRIAN</t>
  </si>
  <si>
    <t>Stephane  Mickael</t>
  </si>
  <si>
    <t>Logt N°201 Bis Cité Analamahitsy</t>
  </si>
  <si>
    <t>/0348107676</t>
  </si>
  <si>
    <t>RAZAKARIMANANA</t>
  </si>
  <si>
    <t>Fetra Niaina</t>
  </si>
  <si>
    <t>Lot GV 8 Soamanandrariny</t>
  </si>
  <si>
    <t>/0346485760</t>
  </si>
  <si>
    <t>ANDRIAMANGAHASINA</t>
  </si>
  <si>
    <t>Jacques Marie David</t>
  </si>
  <si>
    <t>II J 175 Ter H Ivandry</t>
  </si>
  <si>
    <t>/0340616566</t>
  </si>
  <si>
    <t>Donna Ny Aina Fandresena</t>
  </si>
  <si>
    <t xml:space="preserve">Lot A 104 Ter Ankafy Alasora </t>
  </si>
  <si>
    <t>/0347951089</t>
  </si>
  <si>
    <t>SR30BB-102738</t>
  </si>
  <si>
    <t xml:space="preserve">Andriamparany Heritiana Jeannot </t>
  </si>
  <si>
    <t>Lot D 24 Ambodivondava</t>
  </si>
  <si>
    <t>/0340189992</t>
  </si>
  <si>
    <t>SJ25EA-101351</t>
  </si>
  <si>
    <t xml:space="preserve">ANDRIAMIARISOA </t>
  </si>
  <si>
    <t>Andry Erick</t>
  </si>
  <si>
    <t>AB 184 BAB Ambodin'Isotry</t>
  </si>
  <si>
    <t>/0341821264</t>
  </si>
  <si>
    <t>E373E-216477</t>
  </si>
  <si>
    <t>Aleazard Tristanis</t>
  </si>
  <si>
    <t>Lot 76 Cité Ambodin'Isotry</t>
  </si>
  <si>
    <t>TOLOJANAHARY</t>
  </si>
  <si>
    <t>Andriavahatr'aina Sitraka Fenohasina</t>
  </si>
  <si>
    <t>Lot B537 A Andavamamba</t>
  </si>
  <si>
    <t>/0349598910</t>
  </si>
  <si>
    <t>RAMINOSON</t>
  </si>
  <si>
    <t>Mathieu Herimanina</t>
  </si>
  <si>
    <t>Ambohimamory Itaosy</t>
  </si>
  <si>
    <t>/0327885848</t>
  </si>
  <si>
    <t>SR25AA-100332</t>
  </si>
  <si>
    <t>HAJAMANANA</t>
  </si>
  <si>
    <t>Ilo Richard</t>
  </si>
  <si>
    <t>Anjanahary</t>
  </si>
  <si>
    <t>/0344068482</t>
  </si>
  <si>
    <t>SR30BB-211821</t>
  </si>
  <si>
    <t>Sitraka Martinet</t>
  </si>
  <si>
    <t>PAV N°07 67Ha Sud</t>
  </si>
  <si>
    <t>/0341369690</t>
  </si>
  <si>
    <t>SR30BB-230089</t>
  </si>
  <si>
    <t>RAMAROMANDRAY</t>
  </si>
  <si>
    <t>Tojo Andriniaina</t>
  </si>
  <si>
    <t xml:space="preserve">Lot IVN 61 Ankaditapaka </t>
  </si>
  <si>
    <t xml:space="preserve">Ivato Lot KII /123 Ter </t>
  </si>
  <si>
    <t>/0347602989</t>
  </si>
  <si>
    <t>Lot II M 44 A Androhibe</t>
  </si>
  <si>
    <t>RANDRIAMAHENINA</t>
  </si>
  <si>
    <t>Julien Francis</t>
  </si>
  <si>
    <t xml:space="preserve">Lot AB 197 Bis / IV Ankadivory </t>
  </si>
  <si>
    <t>/ 0345486745</t>
  </si>
  <si>
    <t>3 000 000 Ar</t>
  </si>
  <si>
    <t>Nevada Bienvenu Sandratra</t>
  </si>
  <si>
    <t>301 011 006 70</t>
  </si>
  <si>
    <t>/034 12 006 18</t>
  </si>
  <si>
    <t>RAKOTOMANANTSOA</t>
  </si>
  <si>
    <t>Theogene</t>
  </si>
  <si>
    <t>Lot ITP 20 C Andrambao Itaosy</t>
  </si>
  <si>
    <t>Ambohiponana - Manandona</t>
  </si>
  <si>
    <t>/0336284734</t>
  </si>
  <si>
    <t>IZOKISOA</t>
  </si>
  <si>
    <t>Tsizafimandimby</t>
  </si>
  <si>
    <t>Lot III T 191 R B5 Angarangarana</t>
  </si>
  <si>
    <t>/0345712059</t>
  </si>
  <si>
    <t>SR30BB-237268</t>
  </si>
  <si>
    <t>Haja Tiana</t>
  </si>
  <si>
    <t>Lot II H 35 BB Ankadindramamy</t>
  </si>
  <si>
    <t>/0326608439</t>
  </si>
  <si>
    <t>SD25LE-10310</t>
  </si>
  <si>
    <t>KYMCO G4</t>
  </si>
  <si>
    <t>RANOSIHARIMANJAKA</t>
  </si>
  <si>
    <t>Miranjatovo</t>
  </si>
  <si>
    <t>101 242 14 831</t>
  </si>
  <si>
    <t>Lot II I 100 Alarobia</t>
  </si>
  <si>
    <t>/0346933015</t>
  </si>
  <si>
    <t>RATOVOMANANA</t>
  </si>
  <si>
    <t>Tina</t>
  </si>
  <si>
    <t>Espace Lion d'OR Anosiavaratra</t>
  </si>
  <si>
    <t>/0340955794</t>
  </si>
  <si>
    <t>3 600 000 Ar</t>
  </si>
  <si>
    <t>SE20BA-109968</t>
  </si>
  <si>
    <t>KARIM</t>
  </si>
  <si>
    <t>Fanomezantsoa Herinavalona Leonel</t>
  </si>
  <si>
    <t>AK 25 Ankadifotsy</t>
  </si>
  <si>
    <t xml:space="preserve">/0347222046 </t>
  </si>
  <si>
    <t>2 400 000 Ar</t>
  </si>
  <si>
    <t>SJ2SEC-110816</t>
  </si>
  <si>
    <t>ANDRIAMITANTSOA</t>
  </si>
  <si>
    <t>Anjaratiana Fenohasina</t>
  </si>
  <si>
    <t>Lot VF 127 Volotara Firaisana</t>
  </si>
  <si>
    <t>/0342494208</t>
  </si>
  <si>
    <t>RANDRIAMIHERITRA</t>
  </si>
  <si>
    <t>Ralison Tantely willy</t>
  </si>
  <si>
    <t>II A 28 Ter K Amboditsiry</t>
  </si>
  <si>
    <t>/0348848879</t>
  </si>
  <si>
    <t>Fenohoby Fidison</t>
  </si>
  <si>
    <t>Lot IAH 3 B Avaratsena - Itaosy</t>
  </si>
  <si>
    <t>/0345522570</t>
  </si>
  <si>
    <t>Tantely Santatra</t>
  </si>
  <si>
    <t>Lot II B 57 Amboditsiry</t>
  </si>
  <si>
    <t>/0343632728</t>
  </si>
  <si>
    <t>SR25AA-204287</t>
  </si>
  <si>
    <t>RANDRIAMANGA</t>
  </si>
  <si>
    <t>Andriatsarafara</t>
  </si>
  <si>
    <t>II 0103 Bis Anjanahary</t>
  </si>
  <si>
    <t>/0340336220</t>
  </si>
  <si>
    <t>KK-823-840</t>
  </si>
  <si>
    <t>SYM MOI</t>
  </si>
  <si>
    <t>Ando Lalaina</t>
  </si>
  <si>
    <t>Lot G 35 Sab-nam</t>
  </si>
  <si>
    <t>/0343633811</t>
  </si>
  <si>
    <t>SC36AE-100949</t>
  </si>
  <si>
    <t>Tanjona Lucas Sarobidy</t>
  </si>
  <si>
    <t>Lot V K 33 A Morarano</t>
  </si>
  <si>
    <t>/0345447469</t>
  </si>
  <si>
    <t>Rabezoky Harifetra Claret</t>
  </si>
  <si>
    <t>Lot M116 Isahafa</t>
  </si>
  <si>
    <t>/0343208248</t>
  </si>
  <si>
    <t>SG20KC-202211</t>
  </si>
  <si>
    <t>DM002028</t>
  </si>
  <si>
    <t>SYM FIGHTER</t>
  </si>
  <si>
    <t>RAZAKAMIADANA</t>
  </si>
  <si>
    <t>Fiaro</t>
  </si>
  <si>
    <t>Lot II N35 BJ Analamahitsy</t>
  </si>
  <si>
    <t>Semaine 110</t>
  </si>
  <si>
    <t>SR30BB-260516</t>
  </si>
  <si>
    <t>SR30BB-234140</t>
  </si>
  <si>
    <t>SR30BB-238738</t>
  </si>
  <si>
    <t>Semaine 111</t>
  </si>
  <si>
    <t>Semaine 112</t>
  </si>
  <si>
    <t>SR30BB-231465</t>
  </si>
  <si>
    <t>SR30BB-305347</t>
  </si>
  <si>
    <t>SE30AA-101332</t>
  </si>
  <si>
    <t>SR30AC-200249</t>
  </si>
  <si>
    <t>SE25AC-100477</t>
  </si>
  <si>
    <t>SE25AA-134578</t>
  </si>
  <si>
    <t>SG20KC-107950</t>
  </si>
  <si>
    <t>SG20KC-103217</t>
  </si>
  <si>
    <t>SG20KA-225013</t>
  </si>
  <si>
    <t>MOIS 26</t>
  </si>
  <si>
    <t>Semaine 113</t>
  </si>
  <si>
    <t>SR30BB-305927</t>
  </si>
  <si>
    <t>SR30BB-244915</t>
  </si>
  <si>
    <t>SR30BB-210812</t>
  </si>
  <si>
    <t>SR30BB-105366</t>
  </si>
  <si>
    <t>SR30BB-204642</t>
  </si>
  <si>
    <t>Semaine 114</t>
  </si>
  <si>
    <t>SR30BB-202152</t>
  </si>
  <si>
    <t>Semaine 115</t>
  </si>
  <si>
    <t>SR30BB-213180</t>
  </si>
  <si>
    <t>Semaine 116</t>
  </si>
  <si>
    <t>SD25UC-229183</t>
  </si>
  <si>
    <t>SD25UA-203599</t>
  </si>
  <si>
    <t>KOTLETTE</t>
  </si>
  <si>
    <t>SD25UA-111276</t>
  </si>
  <si>
    <t>SD25UC-101737</t>
  </si>
  <si>
    <t>SD25UA-112252</t>
  </si>
  <si>
    <t>SD25UA-127560</t>
  </si>
  <si>
    <t>SD25UA-221859</t>
  </si>
  <si>
    <t>SJ25KA-103348</t>
  </si>
  <si>
    <t>SD25UA-124979</t>
  </si>
  <si>
    <t>Semaine 117</t>
  </si>
  <si>
    <t>Célestin</t>
  </si>
  <si>
    <t>PN 73 Est Mahazoarivo</t>
  </si>
  <si>
    <t>ANDRIATSIFEHERANA</t>
  </si>
  <si>
    <t>Didier Michael</t>
  </si>
  <si>
    <t xml:space="preserve">Lot IVB 8 B Andravoahangy Ouest </t>
  </si>
  <si>
    <t>/0324077551</t>
  </si>
  <si>
    <t>ANDRIANARIJAONA</t>
  </si>
  <si>
    <t>Tojosoa Danny</t>
  </si>
  <si>
    <t>II A 28 RB Soavimbahoaka</t>
  </si>
  <si>
    <t>/0328756304</t>
  </si>
  <si>
    <t>SC36AE-108168</t>
  </si>
  <si>
    <t>RABEARISON-SOLO</t>
  </si>
  <si>
    <t>Tolotra A</t>
  </si>
  <si>
    <t>II N 174 M Analamahitsy</t>
  </si>
  <si>
    <t>/0342547827</t>
  </si>
  <si>
    <t>SR30BB-221851</t>
  </si>
  <si>
    <t>FIDELIO</t>
  </si>
  <si>
    <t>Yonni</t>
  </si>
  <si>
    <t>Lot A 28 AV Bis Analamahitsy</t>
  </si>
  <si>
    <t>/0385253149</t>
  </si>
  <si>
    <t>SR0BB-263958</t>
  </si>
  <si>
    <t>KWAN DAN</t>
  </si>
  <si>
    <t>Harison</t>
  </si>
  <si>
    <t>Lot IBK 3C Ampasamadinika</t>
  </si>
  <si>
    <t>/0347111712</t>
  </si>
  <si>
    <t>Eric Jessica</t>
  </si>
  <si>
    <t>Lot II 105 Amboniloha</t>
  </si>
  <si>
    <t>/0348554712</t>
  </si>
  <si>
    <t>Lovasoa Jean Fleurice</t>
  </si>
  <si>
    <t>Lot IVY 9B Anosipatrana Ouest</t>
  </si>
  <si>
    <t>/0346367523</t>
  </si>
  <si>
    <t>SG20KA-2250013</t>
  </si>
  <si>
    <t>Christian Rochel</t>
  </si>
  <si>
    <t>Lot FA IV 221 Bis Ankadilalana Malaho</t>
  </si>
  <si>
    <t>/0342408708</t>
  </si>
  <si>
    <t>FOLOHENINTSOAMANARIVO</t>
  </si>
  <si>
    <t>Hajasoa</t>
  </si>
  <si>
    <t>Lot IVY 332 Bis Anosipatrana Ouest</t>
  </si>
  <si>
    <t>/0341590620</t>
  </si>
  <si>
    <t>SR30BB-242137</t>
  </si>
  <si>
    <t>RALAMBOZAFY-RAOTO</t>
  </si>
  <si>
    <t>Andrianirinarivo</t>
  </si>
  <si>
    <t>Alasora</t>
  </si>
  <si>
    <t>/0347310171</t>
  </si>
  <si>
    <t>ANDRIAMASINORO</t>
  </si>
  <si>
    <t xml:space="preserve">Harilala Zo </t>
  </si>
  <si>
    <t>Lot II H 446 FB Ter Soavimasoandro</t>
  </si>
  <si>
    <t>/0349208877</t>
  </si>
  <si>
    <t>Pst. RABEARISOA</t>
  </si>
  <si>
    <t>Razafimandimby</t>
  </si>
  <si>
    <t>Anosibe</t>
  </si>
  <si>
    <t>/0343786831</t>
  </si>
  <si>
    <t>E3B9E-360706</t>
  </si>
  <si>
    <t>ANDRIANONIMPANIRIMBOLOLONA</t>
  </si>
  <si>
    <t>Janico Berthy</t>
  </si>
  <si>
    <t>HT 05 III Ter Ankadikely</t>
  </si>
  <si>
    <t>/0348910467</t>
  </si>
  <si>
    <t>SR30ED-101420</t>
  </si>
  <si>
    <t>RAMANALIMANANA</t>
  </si>
  <si>
    <t>Herimampionona Solofo Tsiry</t>
  </si>
  <si>
    <t>Lot II N 184 SV Analamahitsy</t>
  </si>
  <si>
    <t>/0342987648</t>
  </si>
  <si>
    <t>Semaine 118</t>
  </si>
  <si>
    <t>Jean Rolando Fifaliana</t>
  </si>
  <si>
    <t>Lot P57 Sud Ambohipo</t>
  </si>
  <si>
    <t>/0347602982</t>
  </si>
  <si>
    <t>RAKOTOMANOELINA</t>
  </si>
  <si>
    <t>RANDRIANOMANANA</t>
  </si>
  <si>
    <t>Tiana Michel</t>
  </si>
  <si>
    <t>Lot II B 109 Ter Manjakaray</t>
  </si>
  <si>
    <t>/0338002715</t>
  </si>
  <si>
    <t>RANDRIAMIARAMANANA</t>
  </si>
  <si>
    <t>Jean Pierre</t>
  </si>
  <si>
    <t>Lot II A 126 Nanisana</t>
  </si>
  <si>
    <t>/0343894215</t>
  </si>
  <si>
    <t>RAFARALAHY</t>
  </si>
  <si>
    <t>Jean Christ</t>
  </si>
  <si>
    <t>Lot 113 A Antanandrano</t>
  </si>
  <si>
    <t>/0331216244</t>
  </si>
  <si>
    <t xml:space="preserve">KYMCO JR </t>
  </si>
  <si>
    <t>SOLONIAINA</t>
  </si>
  <si>
    <t>Tinasoa</t>
  </si>
  <si>
    <t>Mahatsara Betsizaraina Ambohimangakely</t>
  </si>
  <si>
    <t>/0349495028</t>
  </si>
  <si>
    <t>SJ25KA-116566</t>
  </si>
  <si>
    <t>RAVAOHARISOA</t>
  </si>
  <si>
    <t>Marie Robine</t>
  </si>
  <si>
    <t>Lot IVM 38 G Ter Andohatapenaka</t>
  </si>
  <si>
    <t>/0343117043</t>
  </si>
  <si>
    <t>SJ25KA-121131</t>
  </si>
  <si>
    <t>FENOIRINA</t>
  </si>
  <si>
    <t>Ravaka Mianatsoa</t>
  </si>
  <si>
    <t>Lot A51 303 Ambodifasina</t>
  </si>
  <si>
    <t>/0348436943</t>
  </si>
  <si>
    <t>RANDRIANOMENJANAHARY</t>
  </si>
  <si>
    <t>Abdou</t>
  </si>
  <si>
    <t>II J 112 E Ambodivoanjo</t>
  </si>
  <si>
    <t>/0343045310</t>
  </si>
  <si>
    <t>SR30BB-300901</t>
  </si>
  <si>
    <t>ANDRIAFANOMEZANA</t>
  </si>
  <si>
    <t>C9 TER B Antsahamaina Ambohitrarahaba</t>
  </si>
  <si>
    <t>/0384774657</t>
  </si>
  <si>
    <t>E390E-262589</t>
  </si>
  <si>
    <t xml:space="preserve">YAMAHA RSZ </t>
  </si>
  <si>
    <t>Salohy Rojonirina</t>
  </si>
  <si>
    <t>Lot M 115 Isahafa Andrefana</t>
  </si>
  <si>
    <t>/0348179147</t>
  </si>
  <si>
    <t>RAMBOLA-NARIVONY</t>
  </si>
  <si>
    <t>Tolotra Nomentsoa</t>
  </si>
  <si>
    <t>Lot II F3 C Ter Andraisoro</t>
  </si>
  <si>
    <t>/0348539036</t>
  </si>
  <si>
    <t xml:space="preserve">SR30BB-210812 </t>
  </si>
  <si>
    <t>RATSISALOZAFY</t>
  </si>
  <si>
    <t>Harinosy Fanilo</t>
  </si>
  <si>
    <t>Madiotsifafana Ambatondrazaka</t>
  </si>
  <si>
    <t>/0344061077</t>
  </si>
  <si>
    <t>Rija Tsirintsoa</t>
  </si>
  <si>
    <t>ANDRIANARIVONJATOVO</t>
  </si>
  <si>
    <t>Ny Antso</t>
  </si>
  <si>
    <t>II N 95 C Bis Ambatobe</t>
  </si>
  <si>
    <t>/0324237597</t>
  </si>
  <si>
    <t>Lot IPM 06 Ampahibe Ambohitrimanjaka</t>
  </si>
  <si>
    <t>/0342337374</t>
  </si>
  <si>
    <t>A1F02825</t>
  </si>
  <si>
    <t xml:space="preserve">PGO Tigra </t>
  </si>
  <si>
    <t>RAKOTONDRANALY</t>
  </si>
  <si>
    <t>Maminiaina Nandrianina</t>
  </si>
  <si>
    <t>Lot II IV 187 TB Soavinandriana</t>
  </si>
  <si>
    <t>/0326998214</t>
  </si>
  <si>
    <t>Maevatiana Michael</t>
  </si>
  <si>
    <t>Lot II 003 A Manandona Imerimanjaka</t>
  </si>
  <si>
    <t>/0348020418</t>
  </si>
  <si>
    <t>5FJ-100839</t>
  </si>
  <si>
    <t>Lot IIB 33 F Amboditsiry</t>
  </si>
  <si>
    <t>Alisoa</t>
  </si>
  <si>
    <t>Lot II E 22V Bis A Ambatokaranana</t>
  </si>
  <si>
    <t>/0336331006</t>
  </si>
  <si>
    <t>ANDRIANAIVOHARISEHENO</t>
  </si>
  <si>
    <t xml:space="preserve">Ferana Rafatro </t>
  </si>
  <si>
    <t>Lot VF 12 Bis Amparibe</t>
  </si>
  <si>
    <t>/0340184956</t>
  </si>
  <si>
    <t>RAHAGARIVONY</t>
  </si>
  <si>
    <t>Hariniaina Faniry</t>
  </si>
  <si>
    <t>Lot II V 46 Ampandrana - Besarety</t>
  </si>
  <si>
    <t>/0334832770</t>
  </si>
  <si>
    <t>RABENJANAHARY</t>
  </si>
  <si>
    <t>Njivasoa Mampionona</t>
  </si>
  <si>
    <t>Semaine 119</t>
  </si>
  <si>
    <t>SD25UA-204311</t>
  </si>
  <si>
    <t>SD25UA-204918</t>
  </si>
  <si>
    <t>SD25UA-122666</t>
  </si>
  <si>
    <t>SD25AA-119627</t>
  </si>
  <si>
    <t>SD25UA-231247</t>
  </si>
  <si>
    <t>SD25UA-236242</t>
  </si>
  <si>
    <t>SD25UA-124519</t>
  </si>
  <si>
    <t>SD25UA-108827</t>
  </si>
  <si>
    <t>SD25UA-111895</t>
  </si>
  <si>
    <t>SD25UC-108300</t>
  </si>
  <si>
    <t>SD25UA-129061</t>
  </si>
  <si>
    <t>Semaine 120</t>
  </si>
  <si>
    <t>Semaine 121</t>
  </si>
  <si>
    <t>MOIS 27</t>
  </si>
  <si>
    <t>MOIS 28</t>
  </si>
  <si>
    <t>Semaine 122</t>
  </si>
  <si>
    <t>SR30BB-259999</t>
  </si>
  <si>
    <t>SJ25KA-115595</t>
  </si>
  <si>
    <t>KYMCO RACING VACS</t>
  </si>
  <si>
    <t>SR30FA-125948</t>
  </si>
  <si>
    <t>SR30BB-258510</t>
  </si>
  <si>
    <t>SE30BA-101961</t>
  </si>
  <si>
    <t>SR30BB-241768</t>
  </si>
  <si>
    <t>SR30BB-240581</t>
  </si>
  <si>
    <t>SR30BB-200178</t>
  </si>
  <si>
    <t>SR30BB-500102</t>
  </si>
  <si>
    <t>SR30BB-232228</t>
  </si>
  <si>
    <t xml:space="preserve">  francis angelo</t>
  </si>
  <si>
    <t>Semaine 123</t>
  </si>
  <si>
    <t>SJ25EA-100163</t>
  </si>
  <si>
    <t>SR30ED-101357</t>
  </si>
  <si>
    <t>SR30ED-119471</t>
  </si>
  <si>
    <t>SR30ED-101951</t>
  </si>
  <si>
    <t>SR30ED-111963</t>
  </si>
  <si>
    <t>SR30ED-103765</t>
  </si>
  <si>
    <t>MOIS 29</t>
  </si>
  <si>
    <t>Semaine 124</t>
  </si>
  <si>
    <t>Semaine 125</t>
  </si>
  <si>
    <t>SD2UC-203599</t>
  </si>
  <si>
    <t>RAVONIARISOA</t>
  </si>
  <si>
    <t>Zafisiferana</t>
  </si>
  <si>
    <t>Lot K1 / 62 Ter Ivao</t>
  </si>
  <si>
    <t>/034603491</t>
  </si>
  <si>
    <t>SR3BB-305347</t>
  </si>
  <si>
    <t>11//07/2022</t>
  </si>
  <si>
    <t>SD25UA-229188</t>
  </si>
  <si>
    <t>ANDRIANINA</t>
  </si>
  <si>
    <t>Safidy Ny Aina Yionell</t>
  </si>
  <si>
    <t>Lot II E 81 F Ter Tsarahonenana</t>
  </si>
  <si>
    <t>/0325257768</t>
  </si>
  <si>
    <t>4KX-140285</t>
  </si>
  <si>
    <t xml:space="preserve">ANJARA </t>
  </si>
  <si>
    <t>Tomio</t>
  </si>
  <si>
    <t>Ambohidroa - Andranomena</t>
  </si>
  <si>
    <t>/0344179626</t>
  </si>
  <si>
    <t>815'</t>
  </si>
  <si>
    <t>Jeanne Clara</t>
  </si>
  <si>
    <t xml:space="preserve">Morafeno - Amboasary Sud </t>
  </si>
  <si>
    <t>/0340384885</t>
  </si>
  <si>
    <t>SR30BB-223195</t>
  </si>
  <si>
    <t>815''</t>
  </si>
  <si>
    <t>Heritiana Elvis Bienvenu</t>
  </si>
  <si>
    <t>Lot II P 7 Ter Besarety</t>
  </si>
  <si>
    <t>/0346381769</t>
  </si>
  <si>
    <t>II A 104 GEE Ter D Nanisana</t>
  </si>
  <si>
    <t>/0344085045</t>
  </si>
  <si>
    <t>E377E-334522</t>
  </si>
  <si>
    <t>HERY</t>
  </si>
  <si>
    <t>Toavina Mahandry Hafatra</t>
  </si>
  <si>
    <t>Ambohitromby</t>
  </si>
  <si>
    <t>/0341874088</t>
  </si>
  <si>
    <t>SR30ED-109995</t>
  </si>
  <si>
    <t>RATEFINIRINA</t>
  </si>
  <si>
    <t>Ando Sitraka</t>
  </si>
  <si>
    <t>IVE 196 Bis Tsarafaritra / Arivonimamo</t>
  </si>
  <si>
    <t>/0325557811</t>
  </si>
  <si>
    <t xml:space="preserve">ANDRIAMANARIVO </t>
  </si>
  <si>
    <t>Lo III X 91A Anosibe</t>
  </si>
  <si>
    <t>SR30BB-401236</t>
  </si>
  <si>
    <t>RAHOLONIRINA</t>
  </si>
  <si>
    <t xml:space="preserve">Perle Solange </t>
  </si>
  <si>
    <t>Lot IAN 20D Marobiby Itaosy</t>
  </si>
  <si>
    <t>RAMAMINIRINA RAKOTOMANDIMBY</t>
  </si>
  <si>
    <t>Edouard</t>
  </si>
  <si>
    <t>Itelolahy Imerina Imady Ambositra</t>
  </si>
  <si>
    <t>/0349148755</t>
  </si>
  <si>
    <t>RASOAMAHAFALY</t>
  </si>
  <si>
    <t>Hanitriniaina Rosette</t>
  </si>
  <si>
    <t>Ambohitsara Imerina Imady Ambositra</t>
  </si>
  <si>
    <t>/0389671680</t>
  </si>
  <si>
    <t xml:space="preserve">FOUAD </t>
  </si>
  <si>
    <t xml:space="preserve">Mohammed </t>
  </si>
  <si>
    <t xml:space="preserve">Antanifotsy II Sambava </t>
  </si>
  <si>
    <t>/0345880772</t>
  </si>
  <si>
    <t>RAZAFIMAHATRATRA</t>
  </si>
  <si>
    <t>Andrianaivo</t>
  </si>
  <si>
    <t>Lot B 23 Andrefantsena</t>
  </si>
  <si>
    <t>/0331145649</t>
  </si>
  <si>
    <t>RANDRIARIMANGA</t>
  </si>
  <si>
    <t>Hariniaina Denis</t>
  </si>
  <si>
    <t xml:space="preserve">Anantanetibe ILAFY Lot centre des Sœurs </t>
  </si>
  <si>
    <t>/0347366136</t>
  </si>
  <si>
    <t>4UF-114629</t>
  </si>
  <si>
    <t xml:space="preserve">IVB 103 Andravoahangy Andrefana </t>
  </si>
  <si>
    <t>SR30BB-246415</t>
  </si>
  <si>
    <t xml:space="preserve">RAVELONANDRO </t>
  </si>
  <si>
    <t>Mick Jean Emerent</t>
  </si>
  <si>
    <t xml:space="preserve">Lot ED 45 Antsahatsiresy </t>
  </si>
  <si>
    <t>/0325501111</t>
  </si>
  <si>
    <t>SG20KA-204838</t>
  </si>
  <si>
    <t xml:space="preserve">Alfred </t>
  </si>
  <si>
    <t>ILB05 Ambohimahavelona Talata</t>
  </si>
  <si>
    <t>/0349546801</t>
  </si>
  <si>
    <t>SD25UA-116919</t>
  </si>
  <si>
    <t xml:space="preserve">RAKOTOJOELA </t>
  </si>
  <si>
    <t>Herizo Samuel</t>
  </si>
  <si>
    <t xml:space="preserve">II K12 1 1 Soavimasoandro </t>
  </si>
  <si>
    <t>/0347304690</t>
  </si>
  <si>
    <t>ANDRITOKINIAINA</t>
  </si>
  <si>
    <t xml:space="preserve">Oria </t>
  </si>
  <si>
    <t>IAB 22 Bis Andrononobe</t>
  </si>
  <si>
    <t xml:space="preserve">Edouard </t>
  </si>
  <si>
    <t>Lot IC 109 Ter C Ankadilalampotsy</t>
  </si>
  <si>
    <t>/0347783937</t>
  </si>
  <si>
    <t>/0321476468</t>
  </si>
  <si>
    <t>Hantasoa Christelle</t>
  </si>
  <si>
    <t>RALISATA</t>
  </si>
  <si>
    <t>Lot 329 Cité Analamahitsy</t>
  </si>
  <si>
    <t>/0347316222</t>
  </si>
  <si>
    <t>Tinasoa Vonimbola</t>
  </si>
  <si>
    <t xml:space="preserve">Lot IVF 38 Behoririka </t>
  </si>
  <si>
    <t>/0331760159</t>
  </si>
  <si>
    <t xml:space="preserve">RANDRIANARIVELO </t>
  </si>
  <si>
    <t xml:space="preserve">Mampionona Nehemia </t>
  </si>
  <si>
    <t>/0329503611</t>
  </si>
  <si>
    <t>RAZAFY HARISON</t>
  </si>
  <si>
    <t>Onja Tiana</t>
  </si>
  <si>
    <t>C31 Akany Sambatra Andranonahotra</t>
  </si>
  <si>
    <t>/0325134658</t>
  </si>
  <si>
    <t xml:space="preserve">RAMANAMBE </t>
  </si>
  <si>
    <t>Antonio Serguei</t>
  </si>
  <si>
    <t xml:space="preserve">Centre Ville Vatomandry </t>
  </si>
  <si>
    <t>/0385407304</t>
  </si>
  <si>
    <t>RANAIVOJAONA</t>
  </si>
  <si>
    <t xml:space="preserve">Onimampionona Jean Luc </t>
  </si>
  <si>
    <t>Lot 0910 B 04 Mahafaly Vatofotsy Antsirabe</t>
  </si>
  <si>
    <t>/0346869344</t>
  </si>
  <si>
    <t>SR30BB-248852</t>
  </si>
  <si>
    <t>Nary</t>
  </si>
  <si>
    <t xml:space="preserve">III K 29 F Andavamamba </t>
  </si>
  <si>
    <t>/0344121111</t>
  </si>
  <si>
    <t>SR30BB-226375</t>
  </si>
  <si>
    <t xml:space="preserve">Lot II E 54 GB Bis Ambohidahy </t>
  </si>
  <si>
    <t>/0334003723</t>
  </si>
  <si>
    <t>SR30BB-300409</t>
  </si>
  <si>
    <t xml:space="preserve">ANDRIANJAFY </t>
  </si>
  <si>
    <t xml:space="preserve">Tahinanomenjanahary Safidy </t>
  </si>
  <si>
    <t>Lot VS 54 FGA Ambolokandrina</t>
  </si>
  <si>
    <t>/0342439339</t>
  </si>
  <si>
    <t>RANDRIATSITOHAINA</t>
  </si>
  <si>
    <t>Hajatiana</t>
  </si>
  <si>
    <t>Ambodivona - Ampotaka</t>
  </si>
  <si>
    <t>/036931695</t>
  </si>
  <si>
    <t xml:space="preserve">Voarisoa Tokiniaina </t>
  </si>
  <si>
    <t>2AV 17 Avaratsena</t>
  </si>
  <si>
    <t>842'</t>
  </si>
  <si>
    <t>ANDRIATSIRESY</t>
  </si>
  <si>
    <t>Mampionona Joary</t>
  </si>
  <si>
    <t>B42 Ter Andafiavaratra</t>
  </si>
  <si>
    <t>/0340841203</t>
  </si>
  <si>
    <t xml:space="preserve">RADIMISON </t>
  </si>
  <si>
    <t xml:space="preserve">Rija Fréderic </t>
  </si>
  <si>
    <t>VT 85 HBJ Andohanimandroseza</t>
  </si>
  <si>
    <t>/0345268579</t>
  </si>
  <si>
    <t>Tokiniaina</t>
  </si>
  <si>
    <t>Lot II E 34 LS Bis Ambohidahy</t>
  </si>
  <si>
    <t>/0347610962</t>
  </si>
  <si>
    <t xml:space="preserve">RASENDRAHASINA </t>
  </si>
  <si>
    <t xml:space="preserve">Ny Zo Harinosy </t>
  </si>
  <si>
    <t xml:space="preserve">AK 76 II Ter Ankadikely </t>
  </si>
  <si>
    <t>SE25AA-109557</t>
  </si>
  <si>
    <t xml:space="preserve">RANDRIANATOANDRO </t>
  </si>
  <si>
    <t>Lo AF 8 Bis Imanga SAB/NAM</t>
  </si>
  <si>
    <t>/0340990020</t>
  </si>
  <si>
    <t>SR3OBB-244395</t>
  </si>
  <si>
    <t xml:space="preserve">Tsilavo Landry </t>
  </si>
  <si>
    <t>Lot 03 154 D Andobo sab/nam</t>
  </si>
  <si>
    <t>/0343098888</t>
  </si>
  <si>
    <t>SR30BB-312038</t>
  </si>
  <si>
    <t>HOUSSEN</t>
  </si>
  <si>
    <t>Tombozara</t>
  </si>
  <si>
    <t>Dzamanjar - Ampasy</t>
  </si>
  <si>
    <t>/0329030890</t>
  </si>
  <si>
    <t>Oliva Haniriniala</t>
  </si>
  <si>
    <t>II G 1 Ter Ambatomaro</t>
  </si>
  <si>
    <t>/0344839401</t>
  </si>
  <si>
    <t>SR30BB-313320</t>
  </si>
  <si>
    <t>RAZAFINRASENDRA</t>
  </si>
  <si>
    <t>Emile Jean Doudou</t>
  </si>
  <si>
    <t>Ambohibehasina</t>
  </si>
  <si>
    <t>/0343766332</t>
  </si>
  <si>
    <t>SR30ED-101593</t>
  </si>
  <si>
    <t>MISERE</t>
  </si>
  <si>
    <t xml:space="preserve">Aldo Gashar </t>
  </si>
  <si>
    <t>67HA - SUD BLOC 6 porte 5</t>
  </si>
  <si>
    <t>/0322962783</t>
  </si>
  <si>
    <t xml:space="preserve">RATOVONDRIAKA </t>
  </si>
  <si>
    <t>Narilala Herisoa</t>
  </si>
  <si>
    <t xml:space="preserve">Lot 150 AM Ambohipanja </t>
  </si>
  <si>
    <t>/0320470233</t>
  </si>
  <si>
    <t xml:space="preserve">RATSIMIHAFY </t>
  </si>
  <si>
    <t>Nehemia</t>
  </si>
  <si>
    <t>AE4 Ambohitrarahaba</t>
  </si>
  <si>
    <t>/0323756263</t>
  </si>
  <si>
    <t xml:space="preserve">Jean Fidèle </t>
  </si>
  <si>
    <t xml:space="preserve">Bekininina FKT Andranomiady </t>
  </si>
  <si>
    <t>/0349516933</t>
  </si>
  <si>
    <t xml:space="preserve">SOLONIRINAVALONA </t>
  </si>
  <si>
    <t xml:space="preserve">Elina </t>
  </si>
  <si>
    <t xml:space="preserve">Lot 35 144 A2 Z Paraky </t>
  </si>
  <si>
    <t>/0337213472</t>
  </si>
  <si>
    <t xml:space="preserve">ERANTSOA </t>
  </si>
  <si>
    <t>Fandresena Fleurisse</t>
  </si>
  <si>
    <t xml:space="preserve">Ambohijanaka </t>
  </si>
  <si>
    <t>/0332882140</t>
  </si>
  <si>
    <t>SR30BB-260243</t>
  </si>
  <si>
    <t xml:space="preserve">Tantelinirina Fabien Olivier </t>
  </si>
  <si>
    <t>II C 120 TER Manjakaray</t>
  </si>
  <si>
    <t>/0345485854</t>
  </si>
  <si>
    <t>KYMCO (KING RADOMAMY)</t>
  </si>
  <si>
    <t>Semaine 126</t>
  </si>
  <si>
    <t>SR30BB-245585</t>
  </si>
  <si>
    <t>SR30BB-402383</t>
  </si>
  <si>
    <t>SR30BB-235195</t>
  </si>
  <si>
    <t>SR30BB-305212</t>
  </si>
  <si>
    <t>SR30BB-223696</t>
  </si>
  <si>
    <t>SR30BB-260392</t>
  </si>
  <si>
    <t>SR30BB-220687</t>
  </si>
  <si>
    <t>Semaine 127</t>
  </si>
  <si>
    <t>SE30BA-101160</t>
  </si>
  <si>
    <t>SR30BB-233608</t>
  </si>
  <si>
    <t>SR30BB-201882</t>
  </si>
  <si>
    <t>SR30BB-308787</t>
  </si>
  <si>
    <t>SR30BB-233282</t>
  </si>
  <si>
    <t>SR30BB-201483</t>
  </si>
  <si>
    <t>SR30BB-101817</t>
  </si>
  <si>
    <t>SR30BB-102670</t>
  </si>
  <si>
    <t>SR30BB-215001</t>
  </si>
  <si>
    <t>SR30BB-216131</t>
  </si>
  <si>
    <t>SR30BB-304971</t>
  </si>
  <si>
    <t>SR30BB-205299</t>
  </si>
  <si>
    <t>SR30BB-103225</t>
  </si>
  <si>
    <t>SR30BB-104510</t>
  </si>
  <si>
    <t>SR30BB-221962</t>
  </si>
  <si>
    <t>I6</t>
  </si>
  <si>
    <t>Semaine 128</t>
  </si>
  <si>
    <t>MOIS 30</t>
  </si>
  <si>
    <t>Semaine 129</t>
  </si>
  <si>
    <t xml:space="preserve">RABEMALANTO </t>
  </si>
  <si>
    <t>Tolotriniaina Denis</t>
  </si>
  <si>
    <t xml:space="preserve">II 051 Mananjara </t>
  </si>
  <si>
    <t>/0344981328</t>
  </si>
  <si>
    <t>Tokiana</t>
  </si>
  <si>
    <t xml:space="preserve">Lot II C 16 A Ampandrana </t>
  </si>
  <si>
    <t>/0344136706</t>
  </si>
  <si>
    <t>Rojo Ny Aina Landisoa</t>
  </si>
  <si>
    <t>II E 34 Z I Ambohidahy</t>
  </si>
  <si>
    <t>/0328292558</t>
  </si>
  <si>
    <t xml:space="preserve">ROVASOA </t>
  </si>
  <si>
    <t>Jimmy Francisco</t>
  </si>
  <si>
    <t xml:space="preserve">Andakabe Morondava </t>
  </si>
  <si>
    <t>/0347147207</t>
  </si>
  <si>
    <t>SR30BB-224675</t>
  </si>
  <si>
    <t>Patrice</t>
  </si>
  <si>
    <t>Lot II F 74 AG Andraisoro</t>
  </si>
  <si>
    <t>SR3BB-500102</t>
  </si>
  <si>
    <t>RAJOHARISON</t>
  </si>
  <si>
    <t xml:space="preserve">Asolomalala Heritiana </t>
  </si>
  <si>
    <t xml:space="preserve">Lot TJ 29 A Tanjonandriana </t>
  </si>
  <si>
    <t>/0346416579</t>
  </si>
  <si>
    <t>SR30BB-404883</t>
  </si>
  <si>
    <t xml:space="preserve">RAMANANDRAIBE </t>
  </si>
  <si>
    <t xml:space="preserve">Nandrasana Honorat Juvence Fils </t>
  </si>
  <si>
    <t xml:space="preserve">Lot II MK 35 Bis Androhibe </t>
  </si>
  <si>
    <t>/0348197557</t>
  </si>
  <si>
    <t xml:space="preserve">ANDRINASANDRATRA </t>
  </si>
  <si>
    <t>Hajanirina Mamy Christian</t>
  </si>
  <si>
    <t xml:space="preserve">Ampitamandrevo </t>
  </si>
  <si>
    <t>/0346559209</t>
  </si>
  <si>
    <t xml:space="preserve">AINAMPITIA </t>
  </si>
  <si>
    <t>Tony Ishmael</t>
  </si>
  <si>
    <t xml:space="preserve">Lot ITV 55 ABC Andranonahoatra </t>
  </si>
  <si>
    <t>/0340117601</t>
  </si>
  <si>
    <t>RASOLOARIMALALA</t>
  </si>
  <si>
    <t>Rindraniaina Idealy</t>
  </si>
  <si>
    <t>IVF 219 V Ambodihady</t>
  </si>
  <si>
    <t>/0346031497</t>
  </si>
  <si>
    <t>RAMAMPANDRISON</t>
  </si>
  <si>
    <t>Toky Miranto</t>
  </si>
  <si>
    <t>Mahajanga Ville</t>
  </si>
  <si>
    <t>/0345057350</t>
  </si>
  <si>
    <t xml:space="preserve">ANDRIANOLY </t>
  </si>
  <si>
    <t>II E 49 G Ampanotokana</t>
  </si>
  <si>
    <t>/0347910734</t>
  </si>
  <si>
    <t xml:space="preserve">Gikael Raharinosy </t>
  </si>
  <si>
    <t xml:space="preserve">Lot II J 95 C Ivandry </t>
  </si>
  <si>
    <t>/0348358875</t>
  </si>
  <si>
    <t>SR25AA-105400</t>
  </si>
  <si>
    <t xml:space="preserve">RALISON </t>
  </si>
  <si>
    <t xml:space="preserve">Vonjiniaina Esperence </t>
  </si>
  <si>
    <t>/0346920588</t>
  </si>
  <si>
    <t>SR25EA-115271</t>
  </si>
  <si>
    <t xml:space="preserve">RAZAFINDRAKOTO </t>
  </si>
  <si>
    <t>Emma Fabienna</t>
  </si>
  <si>
    <t>Lot II A 17 A Amboditsiry</t>
  </si>
  <si>
    <t>Rulah Luckoendross</t>
  </si>
  <si>
    <t>RAMILISOA</t>
  </si>
  <si>
    <t xml:space="preserve">II Y 33 ID Ampasanimalo </t>
  </si>
  <si>
    <t>/0347242889</t>
  </si>
  <si>
    <t xml:space="preserve">VELONASI </t>
  </si>
  <si>
    <t>Zesie</t>
  </si>
  <si>
    <t>84 B Belanitra</t>
  </si>
  <si>
    <t>/0342804668</t>
  </si>
  <si>
    <t>SR30BB-220463</t>
  </si>
  <si>
    <t xml:space="preserve">RAMAROKOTO </t>
  </si>
  <si>
    <t>Mamiravaka Iandoniaina</t>
  </si>
  <si>
    <t>Lot II I 61 Ter Amboniloha</t>
  </si>
  <si>
    <t>/0344360070</t>
  </si>
  <si>
    <t>5HK-686202</t>
  </si>
  <si>
    <t>RABELOHATAONA</t>
  </si>
  <si>
    <t xml:space="preserve">Miandrisoa Mickael </t>
  </si>
  <si>
    <t>BM 369 Atsimombohitra</t>
  </si>
  <si>
    <t>/0349677348</t>
  </si>
  <si>
    <t>Liva Harilanto</t>
  </si>
  <si>
    <t>IVF 31 N Ambodihady</t>
  </si>
  <si>
    <t>/032135211</t>
  </si>
  <si>
    <t xml:space="preserve">SJ25KA-121132 </t>
  </si>
  <si>
    <t>LANTO MALALA</t>
  </si>
  <si>
    <t>Prisca Olivienne</t>
  </si>
  <si>
    <t>Mampikony</t>
  </si>
  <si>
    <t>/0347673950</t>
  </si>
  <si>
    <t>Ampasakibo</t>
  </si>
  <si>
    <t>/0345861423</t>
  </si>
  <si>
    <t>RALAIVONINAHITRA</t>
  </si>
  <si>
    <t>Thierry</t>
  </si>
  <si>
    <t xml:space="preserve">Lot 59A Bis Ikianja </t>
  </si>
  <si>
    <t>/0341272838</t>
  </si>
  <si>
    <t xml:space="preserve">Tahina Josaphat </t>
  </si>
  <si>
    <t>III M 34 Mangatany</t>
  </si>
  <si>
    <t>/0340771600</t>
  </si>
  <si>
    <t>SR30ED-116236</t>
  </si>
  <si>
    <t>Mamitiana</t>
  </si>
  <si>
    <t>IV 60 A Bis Ankazomanga Atsimo</t>
  </si>
  <si>
    <t>/0344635007</t>
  </si>
  <si>
    <t>RAMBELOSON</t>
  </si>
  <si>
    <t>Lot EAN 60 Bis Antsofinondry</t>
  </si>
  <si>
    <t>/0347516328</t>
  </si>
  <si>
    <t>Lot 36 GZ pile 21/12 Ambolomadinika</t>
  </si>
  <si>
    <t>/0328521285</t>
  </si>
  <si>
    <t>Beryl Rouge Tamatave</t>
  </si>
  <si>
    <t xml:space="preserve">RANDRIAMBAO </t>
  </si>
  <si>
    <t>Tolojanahary</t>
  </si>
  <si>
    <t>Lo IVF 14 Ambodihady</t>
  </si>
  <si>
    <t>/0346139904</t>
  </si>
  <si>
    <t>BEVOMANGA GUSTAVE</t>
  </si>
  <si>
    <t xml:space="preserve">Hardy Rochel Richard </t>
  </si>
  <si>
    <t xml:space="preserve">II R 38 A Amboanjobe </t>
  </si>
  <si>
    <t>/0342953291</t>
  </si>
  <si>
    <t xml:space="preserve">RASOLOFONIAINA </t>
  </si>
  <si>
    <t>Njakatiana</t>
  </si>
  <si>
    <t xml:space="preserve">Lot A 130 Manarintsoa Anatihazo </t>
  </si>
  <si>
    <t>/0382659070</t>
  </si>
  <si>
    <t xml:space="preserve">RASOLOFOARISON </t>
  </si>
  <si>
    <t>Fenosoa Lantonirina</t>
  </si>
  <si>
    <t xml:space="preserve">IVX 60 Bis Ankazomanga Sud </t>
  </si>
  <si>
    <t>/0340660607</t>
  </si>
  <si>
    <t>KYMCO AGILITY</t>
  </si>
  <si>
    <t>RAFITOSON</t>
  </si>
  <si>
    <t xml:space="preserve">Andrianarinjaka </t>
  </si>
  <si>
    <t>Lot 12 35 Ilafy</t>
  </si>
  <si>
    <t>/0344071202</t>
  </si>
  <si>
    <t>RANAIVOSOLO</t>
  </si>
  <si>
    <t>Mioraharilala</t>
  </si>
  <si>
    <t>Lot VN 72 Ter AA Androndrakely</t>
  </si>
  <si>
    <t>/0331998672</t>
  </si>
  <si>
    <t>RAMILISON HARITSIORY</t>
  </si>
  <si>
    <t xml:space="preserve">Erica Billy </t>
  </si>
  <si>
    <t>Lot II N 118 Anjanahary</t>
  </si>
  <si>
    <t>/0349122875</t>
  </si>
  <si>
    <t xml:space="preserve">RATOSIARISOA </t>
  </si>
  <si>
    <t>Isabelle</t>
  </si>
  <si>
    <t>Lot ITV 19 Ter B Andrefantsena</t>
  </si>
  <si>
    <t>/0336139672</t>
  </si>
  <si>
    <t>JACQUY ARIJESA</t>
  </si>
  <si>
    <t>Lot N°174 BLE Lazaret Sud Diego Suarez</t>
  </si>
  <si>
    <t>/0341953509</t>
  </si>
  <si>
    <t>Mamy Lantoniaina lala</t>
  </si>
  <si>
    <t>AD 6 Ter N Bis Ambohitrarahaba</t>
  </si>
  <si>
    <t>Mohamed</t>
  </si>
  <si>
    <t xml:space="preserve">Lot VB 72 MA Ter Ambatoroka </t>
  </si>
  <si>
    <t>RASOARIVELO</t>
  </si>
  <si>
    <t xml:space="preserve">Alberthine </t>
  </si>
  <si>
    <t xml:space="preserve">Lot III J 58 B Andavamamba </t>
  </si>
  <si>
    <t>/0341376308</t>
  </si>
  <si>
    <t>Semaine 130</t>
  </si>
  <si>
    <t>SG20KA-208400</t>
  </si>
  <si>
    <t>SG20KA-209302</t>
  </si>
  <si>
    <t>SG20KA-210198</t>
  </si>
  <si>
    <t>SG20KA-216117</t>
  </si>
  <si>
    <t>SG20KA-225400</t>
  </si>
  <si>
    <t>SG20KA-234999</t>
  </si>
  <si>
    <t>SG20KA-501755</t>
  </si>
  <si>
    <t>SG20KA-507763</t>
  </si>
  <si>
    <t>SG20KB-201456</t>
  </si>
  <si>
    <t>SG20KB-205405</t>
  </si>
  <si>
    <t>SG20KB-302768</t>
  </si>
  <si>
    <t>SG20KC-101381</t>
  </si>
  <si>
    <t>SG20KC-207841</t>
  </si>
  <si>
    <t>SG20KC-102797</t>
  </si>
  <si>
    <t>SG20LB-102129</t>
  </si>
  <si>
    <t>Semaine 131</t>
  </si>
  <si>
    <t>RAKOTOTAFIKA</t>
  </si>
  <si>
    <t xml:space="preserve">Tsiory </t>
  </si>
  <si>
    <t>Lot II M 81 B Androhibe</t>
  </si>
  <si>
    <t>/0341018512</t>
  </si>
  <si>
    <t xml:space="preserve">RANDRIAMPARANTSOA </t>
  </si>
  <si>
    <t>Jaonhasy Thom</t>
  </si>
  <si>
    <t>Lot IJM 4184 Mangarivotra Itaosy</t>
  </si>
  <si>
    <t>/0320705210</t>
  </si>
  <si>
    <t>SR30GG-201907</t>
  </si>
  <si>
    <t>BAZAY</t>
  </si>
  <si>
    <t>Ferdinand</t>
  </si>
  <si>
    <t>VS 21 CD Ter D Ambolokandrina Tana</t>
  </si>
  <si>
    <t>/0341420671</t>
  </si>
  <si>
    <t xml:space="preserve">TCHIOURSON </t>
  </si>
  <si>
    <t xml:space="preserve">Lahatra </t>
  </si>
  <si>
    <t xml:space="preserve">II B 126 Bis Manjakaray </t>
  </si>
  <si>
    <t>/0345181437</t>
  </si>
  <si>
    <t>E3B9E-421639</t>
  </si>
  <si>
    <t xml:space="preserve">YAMAHA RS ZERO </t>
  </si>
  <si>
    <t xml:space="preserve">ANDRIAMAMONJY </t>
  </si>
  <si>
    <t xml:space="preserve">Njiva </t>
  </si>
  <si>
    <t>Lot II B 92 Amboditsiry</t>
  </si>
  <si>
    <t>4UF-107821</t>
  </si>
  <si>
    <t xml:space="preserve">Luc Tiana Herison </t>
  </si>
  <si>
    <t xml:space="preserve">Lot IPA 195 Anosimasina Bemasoandro </t>
  </si>
  <si>
    <t>/0340807690</t>
  </si>
  <si>
    <t xml:space="preserve">Mahefason Eddy </t>
  </si>
  <si>
    <t xml:space="preserve">Lot AT 30 Ter Ankadikely </t>
  </si>
  <si>
    <t>/0331131103</t>
  </si>
  <si>
    <t>SC36AE-107329</t>
  </si>
  <si>
    <t xml:space="preserve">ANDRIANTSITOHAINA </t>
  </si>
  <si>
    <t>Tolojanahary Paul</t>
  </si>
  <si>
    <t>Lot GVI 63 Q Ter Ambohimangakely</t>
  </si>
  <si>
    <t>/0347612331</t>
  </si>
  <si>
    <t xml:space="preserve">RANDRIANALISON </t>
  </si>
  <si>
    <t xml:space="preserve">Valotahiry Tolotriniavo </t>
  </si>
  <si>
    <t>SI 031 Ter B Soavina - tana 102</t>
  </si>
  <si>
    <t>/0348447090</t>
  </si>
  <si>
    <t xml:space="preserve">RAHARINIRINA </t>
  </si>
  <si>
    <t xml:space="preserve">Felana </t>
  </si>
  <si>
    <t>Lot B 94 Iadiambola - Sab/Nam</t>
  </si>
  <si>
    <t>/0348190390</t>
  </si>
  <si>
    <t>EX Fac 493</t>
  </si>
  <si>
    <t xml:space="preserve">Andriniaina </t>
  </si>
  <si>
    <t xml:space="preserve">Lot B 14 TER Andranomanalina </t>
  </si>
  <si>
    <t>/0348699764</t>
  </si>
  <si>
    <t>Semaine 132</t>
  </si>
  <si>
    <t>HaNs</t>
  </si>
  <si>
    <t>Semaine 133</t>
  </si>
  <si>
    <t>SR30BB-209556</t>
  </si>
  <si>
    <t>Semaine 134</t>
  </si>
  <si>
    <t>SR30ED-102006</t>
  </si>
  <si>
    <t>SR30ED-105278</t>
  </si>
  <si>
    <t xml:space="preserve">RANDRIAMIHERITRA </t>
  </si>
  <si>
    <t>FITIAVANTSOA</t>
  </si>
  <si>
    <t>Mamitiana Herimalala Joel</t>
  </si>
  <si>
    <t xml:space="preserve">Lot IVR 80 Ambohibary Antanimena </t>
  </si>
  <si>
    <t>/0341100276</t>
  </si>
  <si>
    <t xml:space="preserve">ANDRIAMIHAJA </t>
  </si>
  <si>
    <t xml:space="preserve">Miarinarivotiana Fidele </t>
  </si>
  <si>
    <t xml:space="preserve">Fianarantsoa </t>
  </si>
  <si>
    <t>/0349211367</t>
  </si>
  <si>
    <t xml:space="preserve">RAMAROZATOVO </t>
  </si>
  <si>
    <t xml:space="preserve">Damien Nirina </t>
  </si>
  <si>
    <t xml:space="preserve">Tambohivo - FKT Soafandry Ambohimasoa </t>
  </si>
  <si>
    <t>/0345182188</t>
  </si>
  <si>
    <t>BL 242</t>
  </si>
  <si>
    <t xml:space="preserve">Malala Tsiriniaina </t>
  </si>
  <si>
    <t>ANDRIAMPARANIMAHEFA</t>
  </si>
  <si>
    <t xml:space="preserve">II S 74 Anjanahary Manerinerina </t>
  </si>
  <si>
    <t>/0331202897</t>
  </si>
  <si>
    <t>Mamy Henintsoa</t>
  </si>
  <si>
    <t xml:space="preserve">Lot II N 39 Bis Analamahitsy </t>
  </si>
  <si>
    <t>/0340250171</t>
  </si>
  <si>
    <t>Avotriniaina</t>
  </si>
  <si>
    <t>Ter AF Ambohitrarahaba</t>
  </si>
  <si>
    <t>/0327668850</t>
  </si>
  <si>
    <t xml:space="preserve">Atrehindrazana Annie Monique </t>
  </si>
  <si>
    <t>C 24 TER AD Ambohinaorina Sab/Nam</t>
  </si>
  <si>
    <t>/0340593238</t>
  </si>
  <si>
    <t xml:space="preserve">Andry Niaina Ruffin </t>
  </si>
  <si>
    <t>Sab - Nam</t>
  </si>
  <si>
    <t>/0341805116</t>
  </si>
  <si>
    <t>SR25*1700328*</t>
  </si>
  <si>
    <t xml:space="preserve">RAZAFIMANANTANY </t>
  </si>
  <si>
    <t>Anjara Fiononana</t>
  </si>
  <si>
    <t xml:space="preserve">II 0 25 A Anjanahary </t>
  </si>
  <si>
    <t>/0347485994</t>
  </si>
  <si>
    <t>SR30EE-103765</t>
  </si>
  <si>
    <t xml:space="preserve">NOMENJANAHARY </t>
  </si>
  <si>
    <t xml:space="preserve">Michaël </t>
  </si>
  <si>
    <t xml:space="preserve">Lot II B 233 Bis Mahalavolona </t>
  </si>
  <si>
    <t>/0345085112</t>
  </si>
  <si>
    <t xml:space="preserve">Hans </t>
  </si>
  <si>
    <t>Lot GV 17 Soamanandrariny</t>
  </si>
  <si>
    <t>/0349963726</t>
  </si>
  <si>
    <t xml:space="preserve">Lova Christian </t>
  </si>
  <si>
    <t>Lot VT 33 EA Ambohipo</t>
  </si>
  <si>
    <t>/0341384066</t>
  </si>
  <si>
    <t xml:space="preserve">RAMAHAY </t>
  </si>
  <si>
    <t xml:space="preserve">Tianarivo </t>
  </si>
  <si>
    <t xml:space="preserve">Lot 218 Bis Tanambao Ilafy </t>
  </si>
  <si>
    <t>/0346285595</t>
  </si>
  <si>
    <t>SE30BB-104300</t>
  </si>
  <si>
    <t>928'</t>
  </si>
  <si>
    <t xml:space="preserve">II K 12 AA Soavimasoandro </t>
  </si>
  <si>
    <t xml:space="preserve">RATIARIVONY </t>
  </si>
  <si>
    <t xml:space="preserve">Fenomanantsoa Saphire Innocente </t>
  </si>
  <si>
    <t>Lot D 53 Ter Tsarafasina MORAMANGA</t>
  </si>
  <si>
    <t>/0347692099</t>
  </si>
  <si>
    <t>Semaine 135</t>
  </si>
  <si>
    <t>Semaine 136</t>
  </si>
  <si>
    <t>SE25AA-118860</t>
  </si>
  <si>
    <t>SR25AA-102688</t>
  </si>
  <si>
    <t>SE25AD-100667</t>
  </si>
  <si>
    <t>SR25AA-200975</t>
  </si>
  <si>
    <t>SE25AA-126956</t>
  </si>
  <si>
    <t>SR25AD-203633</t>
  </si>
  <si>
    <t>SE25AA-101417</t>
  </si>
  <si>
    <t>Semaine 137</t>
  </si>
  <si>
    <t>Semaine 138</t>
  </si>
  <si>
    <t>Semaine 139</t>
  </si>
  <si>
    <t>Semaine 140</t>
  </si>
  <si>
    <t>SR30BB-200935</t>
  </si>
  <si>
    <t>Semaine 141</t>
  </si>
  <si>
    <t>SR30BB-214411</t>
  </si>
  <si>
    <t>Semaine 142</t>
  </si>
  <si>
    <t>Ianja</t>
  </si>
  <si>
    <t>4XB-000727</t>
  </si>
  <si>
    <t>SR30BB-105418</t>
  </si>
  <si>
    <t>RAHARISON</t>
  </si>
  <si>
    <t xml:space="preserve">Lantoniaina </t>
  </si>
  <si>
    <t>Lot B 106 Mahaimandry Ambohijanaka</t>
  </si>
  <si>
    <t>/0349259080</t>
  </si>
  <si>
    <t>18/11//2022</t>
  </si>
  <si>
    <t>Théodore</t>
  </si>
  <si>
    <t>III A 44 J Andranomena</t>
  </si>
  <si>
    <t>/0340104037</t>
  </si>
  <si>
    <t xml:space="preserve">Nomenjanahary Edmond </t>
  </si>
  <si>
    <t>Ambohikely Itaosy</t>
  </si>
  <si>
    <t>/0345521973</t>
  </si>
  <si>
    <t>RAVELOARIJAONA</t>
  </si>
  <si>
    <t>Belly Malala</t>
  </si>
  <si>
    <t>II N 174 PA Bis Analamahitsy</t>
  </si>
  <si>
    <t>/0347217789</t>
  </si>
  <si>
    <t xml:space="preserve">RAJAONARIMISA </t>
  </si>
  <si>
    <t xml:space="preserve">Rija Christopher </t>
  </si>
  <si>
    <t>IVG 50 U Ter Ambohimitsinjo</t>
  </si>
  <si>
    <t>/0340594279</t>
  </si>
  <si>
    <t>SDH157FMI-5*73016608*</t>
  </si>
  <si>
    <t>Honda</t>
  </si>
  <si>
    <t>RAZAKAMANARINA</t>
  </si>
  <si>
    <t>Mandarivonirina Fitiavana</t>
  </si>
  <si>
    <t xml:space="preserve">Lot 232 I Ambohinambo Talatamaty </t>
  </si>
  <si>
    <t>/0345213760</t>
  </si>
  <si>
    <t>SR30ED-117635</t>
  </si>
  <si>
    <t>RANDRIAMIREHITRA</t>
  </si>
  <si>
    <t>Lot II A28 Ter K Amboditsiry</t>
  </si>
  <si>
    <t>Jean Rolland</t>
  </si>
  <si>
    <t>Lot IVG 66 Behoririka Ankaditapaka</t>
  </si>
  <si>
    <t>/0347559169</t>
  </si>
  <si>
    <t>Tsirimanana Jean Rufin</t>
  </si>
  <si>
    <t>Lot II E 1i Ter Ambohimirary</t>
  </si>
  <si>
    <t>/0387598896</t>
  </si>
  <si>
    <t>RAKOTOMALALA ANDRIAMANALINA</t>
  </si>
  <si>
    <t xml:space="preserve">Tojo  Narindra Angelo Francis </t>
  </si>
  <si>
    <t>VT 85 NRA Andohan'i Mandroseza</t>
  </si>
  <si>
    <t>Andry Jocelyn</t>
  </si>
  <si>
    <t xml:space="preserve">Lot IVP 33 Lazaina </t>
  </si>
  <si>
    <t>/0347942097</t>
  </si>
  <si>
    <t xml:space="preserve">Louis Hubert </t>
  </si>
  <si>
    <t>Antanandrano Lot 172 AB</t>
  </si>
  <si>
    <t>/0334352247</t>
  </si>
  <si>
    <t>Lee</t>
  </si>
  <si>
    <t>H Ter OI Andranomadio P/celle 11/43</t>
  </si>
  <si>
    <t>/0340774948</t>
  </si>
  <si>
    <t>SR30BE-100951</t>
  </si>
  <si>
    <t>KYMCO RACING vacs</t>
  </si>
  <si>
    <t>RANDRIAMANDIMBILAZA</t>
  </si>
  <si>
    <t xml:space="preserve">Herizo Ricardo </t>
  </si>
  <si>
    <t>Lot II E 23 Bis Ambatomaro</t>
  </si>
  <si>
    <t>/0340190156</t>
  </si>
  <si>
    <t xml:space="preserve">RAKOTONDRAVELO </t>
  </si>
  <si>
    <t>Solofo Désiré</t>
  </si>
  <si>
    <t>II N 88 B Analamahitsy</t>
  </si>
  <si>
    <t>/0341817228</t>
  </si>
  <si>
    <t xml:space="preserve">Nanou Harisoa </t>
  </si>
  <si>
    <t>Lot 03-428D Ambohitrangano</t>
  </si>
  <si>
    <t>/0340963173</t>
  </si>
  <si>
    <t>SJ25KF-107893</t>
  </si>
  <si>
    <t xml:space="preserve">RASOANAIVO </t>
  </si>
  <si>
    <t>Lapa Nantenaina</t>
  </si>
  <si>
    <t>/0349131830</t>
  </si>
  <si>
    <t>FENOHAJA</t>
  </si>
  <si>
    <t xml:space="preserve">Nantenaina Nandrandraina </t>
  </si>
  <si>
    <t>Lot BN 34 Ambatomandeha Betsizaraina</t>
  </si>
  <si>
    <t>/0347635627</t>
  </si>
  <si>
    <t xml:space="preserve">THYNO </t>
  </si>
  <si>
    <t>Bajo Alexandre</t>
  </si>
  <si>
    <t xml:space="preserve">Lot IVF 90 Ambohidahy </t>
  </si>
  <si>
    <t>/0346360001</t>
  </si>
  <si>
    <t xml:space="preserve">RANDRIAMIHAJA </t>
  </si>
  <si>
    <t xml:space="preserve">Volana </t>
  </si>
  <si>
    <t>IVN 50 Ter Ankadifotsy</t>
  </si>
  <si>
    <t>/0330199560</t>
  </si>
  <si>
    <t>4VP-118436</t>
  </si>
  <si>
    <t>RAVELONTSALAMA</t>
  </si>
  <si>
    <t>Nirina Niaina Fanomezantsoa</t>
  </si>
  <si>
    <t>Lot II B 11 Bis Amboditsiry</t>
  </si>
  <si>
    <t>/0341015097</t>
  </si>
  <si>
    <t>II B 33 F Amboditsiry</t>
  </si>
  <si>
    <t>Nomentsoa Kevin</t>
  </si>
  <si>
    <t>II M26 Bis Androhibe</t>
  </si>
  <si>
    <t>/0346308153</t>
  </si>
  <si>
    <t xml:space="preserve">Heriniaina Fitahiana </t>
  </si>
  <si>
    <t>FAIV 181 Ter Sandravola Malaho</t>
  </si>
  <si>
    <t>/0389324324</t>
  </si>
  <si>
    <t>SG20BA-201118</t>
  </si>
  <si>
    <t>955/J23</t>
  </si>
  <si>
    <t xml:space="preserve">RAMANAMIHANTA </t>
  </si>
  <si>
    <t>Chandrine Seheno Narindra Fabyène</t>
  </si>
  <si>
    <t>IVG 42 Ter Ambohimitsinjo</t>
  </si>
  <si>
    <t>/0341234212</t>
  </si>
  <si>
    <t>956/J23</t>
  </si>
  <si>
    <t xml:space="preserve">Feno Mampionona </t>
  </si>
  <si>
    <t xml:space="preserve">IVX 75 Bis Ankazomanga </t>
  </si>
  <si>
    <t>/0348518492</t>
  </si>
  <si>
    <t>957/J23</t>
  </si>
  <si>
    <t>RASOLONZERISAMBATRA</t>
  </si>
  <si>
    <t xml:space="preserve">Jenny-fer Marie El Eana </t>
  </si>
  <si>
    <t xml:space="preserve">II N 83 D Analamahitsy </t>
  </si>
  <si>
    <t>/0348404238</t>
  </si>
  <si>
    <t xml:space="preserve">RAKOTOARIMALALA </t>
  </si>
  <si>
    <t>Tojonirina Heriniaina</t>
  </si>
  <si>
    <t xml:space="preserve">Lot ITB 06 Ambaniala </t>
  </si>
  <si>
    <t>/0345055105</t>
  </si>
  <si>
    <t>SR25AA-204841</t>
  </si>
  <si>
    <t>SR25AA-209340</t>
  </si>
  <si>
    <t>SE30BB-103213</t>
  </si>
  <si>
    <t>SR30BB-233419</t>
  </si>
  <si>
    <t>SR30BB-105935</t>
  </si>
  <si>
    <t>SR30BB-258402</t>
  </si>
  <si>
    <t>SR30BB-232750</t>
  </si>
  <si>
    <t>SR30BB-231047</t>
  </si>
  <si>
    <t>SR30BB-267526</t>
  </si>
  <si>
    <t>SR30BB-246105</t>
  </si>
  <si>
    <t>SR30BB-244830</t>
  </si>
  <si>
    <t>Semaine 143</t>
  </si>
  <si>
    <t>Semaine 144</t>
  </si>
  <si>
    <t>SE25AB-102900</t>
  </si>
  <si>
    <t>SR30BF-2017778</t>
  </si>
  <si>
    <t xml:space="preserve">RASOLONIRINA </t>
  </si>
  <si>
    <t>Tsiriniaina Julien Andre Dina</t>
  </si>
  <si>
    <t xml:space="preserve">Ankadilalana Anjozorobe </t>
  </si>
  <si>
    <t>/0348585987</t>
  </si>
  <si>
    <t>5TY-122337</t>
  </si>
  <si>
    <t xml:space="preserve">Mialitiana Hermes </t>
  </si>
  <si>
    <t xml:space="preserve">Lot FKR III 072 Fiakarana Ambohitrimanjaka </t>
  </si>
  <si>
    <t>/0325059392</t>
  </si>
  <si>
    <t>SE20BA-100311</t>
  </si>
  <si>
    <t xml:space="preserve">Ando Sitraka </t>
  </si>
  <si>
    <t xml:space="preserve">Lot Ankadikely </t>
  </si>
  <si>
    <t>/0342855787</t>
  </si>
  <si>
    <t>SE22BA-118452</t>
  </si>
  <si>
    <t xml:space="preserve">RASOANANDRASANA </t>
  </si>
  <si>
    <t xml:space="preserve">Emilienne </t>
  </si>
  <si>
    <t>Lot B 48 E Amboditsiry</t>
  </si>
  <si>
    <t>/0345083576</t>
  </si>
  <si>
    <t>SR30BB-241978</t>
  </si>
  <si>
    <t>ANDRIAMAHAVORY</t>
  </si>
  <si>
    <t>Jean Bruno</t>
  </si>
  <si>
    <t>Tsararano Mahajanga</t>
  </si>
  <si>
    <t>/0325210789</t>
  </si>
  <si>
    <t>RASOAHERIMINO</t>
  </si>
  <si>
    <t xml:space="preserve">Laingo Tolotriniaina </t>
  </si>
  <si>
    <t>Ambohitrony</t>
  </si>
  <si>
    <t>/0332834674</t>
  </si>
  <si>
    <t>SE22BB-104430</t>
  </si>
  <si>
    <t xml:space="preserve">LA TABLE AU PLAFOND </t>
  </si>
  <si>
    <t xml:space="preserve">Ampasamadinika </t>
  </si>
  <si>
    <t>4UE-017069</t>
  </si>
  <si>
    <t>LIANTSOA</t>
  </si>
  <si>
    <t xml:space="preserve">Miantsa Eric </t>
  </si>
  <si>
    <t>Lot III L 27 Ter Fiadanana</t>
  </si>
  <si>
    <t>/0346011789</t>
  </si>
  <si>
    <t xml:space="preserve">Fitombofanja Amosa </t>
  </si>
  <si>
    <t>Lot IJJ 12105 Ambohijatovo</t>
  </si>
  <si>
    <t>/0332317184</t>
  </si>
  <si>
    <t>RANDRIANALALA</t>
  </si>
  <si>
    <t>Jean Louis</t>
  </si>
  <si>
    <t>Lot II VB 98 Amboasarikely Tsi/didy</t>
  </si>
  <si>
    <t>/0341345623</t>
  </si>
  <si>
    <t>Débit</t>
  </si>
  <si>
    <t>Crédit</t>
  </si>
  <si>
    <t>Investissement</t>
  </si>
  <si>
    <t>Achat G5 125 FI</t>
  </si>
  <si>
    <t>Vente G5 125 FI</t>
  </si>
  <si>
    <t>Achat G5 Megafi</t>
  </si>
  <si>
    <t>Achat VJR 110</t>
  </si>
  <si>
    <t>Achat G5 125 carbu</t>
  </si>
  <si>
    <t xml:space="preserve">Achat G5 125 FI </t>
  </si>
  <si>
    <t>Dépenses autres</t>
  </si>
  <si>
    <t>Vente G5 125 carbu</t>
  </si>
  <si>
    <t>RESTE</t>
  </si>
  <si>
    <t>invest départ : 9 900 000</t>
  </si>
  <si>
    <t>Vente VJR 110</t>
  </si>
  <si>
    <t xml:space="preserve">02/09/2023 : - 3 000 000 </t>
  </si>
  <si>
    <t>Retrait Johann</t>
  </si>
  <si>
    <t xml:space="preserve">Vente G5 Megafi </t>
  </si>
  <si>
    <t>Achat G5 150 carbu</t>
  </si>
  <si>
    <t>Date de départ</t>
  </si>
  <si>
    <t>Vente G5 125 FI /12</t>
  </si>
  <si>
    <t>Achat G5 125 FI /12</t>
  </si>
  <si>
    <t>G5 125 FI  /12</t>
  </si>
  <si>
    <t>G5 Megafi 150</t>
  </si>
  <si>
    <t>VJR 110</t>
  </si>
  <si>
    <t>G5 125 carbu</t>
  </si>
  <si>
    <t xml:space="preserve">G5 150 carbu </t>
  </si>
  <si>
    <t xml:space="preserve">G5 125 FI  </t>
  </si>
  <si>
    <t>G5 125  FI</t>
  </si>
  <si>
    <t>TOTAL BENEF</t>
  </si>
  <si>
    <t>G5 125 FI</t>
  </si>
  <si>
    <t>Transport - lavage - méca 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</si>
</sst>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#,##0\ _A_r"/>
    <numFmt numFmtId="168" formatCode="#,##0\ &quot;Ar&quot;"/>
    <numFmt numFmtId="169" formatCode="0.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Berlin Sans FB Demi"/>
      <family val="2"/>
    </font>
    <font>
      <b/>
      <i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rgb="FF456717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99FF"/>
      <name val="Calibri"/>
      <family val="2"/>
      <scheme val="minor"/>
    </font>
    <font>
      <sz val="11"/>
      <color rgb="FFFE980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336699"/>
      <name val="Calibri"/>
      <family val="2"/>
      <scheme val="minor"/>
    </font>
    <font>
      <sz val="11"/>
      <color rgb="FF40845F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</fonts>
  <fills count="17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D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19A6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90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C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FF0FB"/>
        <bgColor indexed="64"/>
      </patternFill>
    </fill>
    <fill>
      <patternFill patternType="solid">
        <fgColor rgb="FF2A9703"/>
        <bgColor indexed="64"/>
      </patternFill>
    </fill>
    <fill>
      <patternFill patternType="solid">
        <fgColor rgb="FF6C322E"/>
        <bgColor indexed="64"/>
      </patternFill>
    </fill>
    <fill>
      <patternFill patternType="solid">
        <fgColor rgb="FF10F487"/>
        <bgColor indexed="64"/>
      </patternFill>
    </fill>
    <fill>
      <patternFill patternType="solid">
        <fgColor rgb="FFDD71FB"/>
        <bgColor indexed="64"/>
      </patternFill>
    </fill>
    <fill>
      <patternFill patternType="solid">
        <fgColor rgb="FFFFE86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EE2A2A"/>
        <bgColor indexed="64"/>
      </patternFill>
    </fill>
    <fill>
      <patternFill patternType="solid">
        <fgColor rgb="FFE8890A"/>
        <bgColor indexed="64"/>
      </patternFill>
    </fill>
    <fill>
      <patternFill patternType="solid">
        <fgColor rgb="FFBBF406"/>
        <bgColor indexed="64"/>
      </patternFill>
    </fill>
    <fill>
      <patternFill patternType="solid">
        <fgColor rgb="FF02D854"/>
        <bgColor indexed="64"/>
      </patternFill>
    </fill>
    <fill>
      <patternFill patternType="solid">
        <fgColor rgb="FF22807E"/>
        <bgColor indexed="64"/>
      </patternFill>
    </fill>
    <fill>
      <patternFill patternType="solid">
        <fgColor rgb="FFBBFEB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9A67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53EBC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002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89E90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1A943"/>
        <bgColor indexed="64"/>
      </patternFill>
    </fill>
    <fill>
      <patternFill patternType="solid">
        <fgColor rgb="FFF21B04"/>
        <bgColor indexed="64"/>
      </patternFill>
    </fill>
    <fill>
      <patternFill patternType="solid">
        <fgColor rgb="FF6A94B6"/>
        <bgColor indexed="64"/>
      </patternFill>
    </fill>
    <fill>
      <patternFill patternType="solid">
        <fgColor rgb="FFFE226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F1E00"/>
        <bgColor indexed="64"/>
      </patternFill>
    </fill>
    <fill>
      <patternFill patternType="solid">
        <fgColor rgb="FF42F86D"/>
        <bgColor indexed="64"/>
      </patternFill>
    </fill>
    <fill>
      <patternFill patternType="solid">
        <fgColor rgb="FF003136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9E9E38"/>
        <bgColor indexed="64"/>
      </patternFill>
    </fill>
    <fill>
      <patternFill patternType="solid">
        <fgColor rgb="FFFFB829"/>
        <bgColor indexed="64"/>
      </patternFill>
    </fill>
    <fill>
      <patternFill patternType="solid">
        <fgColor rgb="FF1E9E5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6AB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118EAB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DFABFF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5E116D"/>
        <bgColor indexed="64"/>
      </patternFill>
    </fill>
    <fill>
      <patternFill patternType="solid">
        <fgColor rgb="FF3C0BE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F998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89FF8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CE69D"/>
        <bgColor indexed="64"/>
      </patternFill>
    </fill>
    <fill>
      <patternFill patternType="solid">
        <fgColor rgb="FFA4E6FE"/>
        <bgColor indexed="64"/>
      </patternFill>
    </fill>
    <fill>
      <patternFill patternType="solid">
        <fgColor rgb="FFFF21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5EF4AD"/>
        <bgColor indexed="64"/>
      </patternFill>
    </fill>
    <fill>
      <patternFill patternType="solid">
        <fgColor rgb="FF964444"/>
        <bgColor indexed="64"/>
      </patternFill>
    </fill>
    <fill>
      <patternFill patternType="solid">
        <fgColor rgb="FF37112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386"/>
        <bgColor indexed="64"/>
      </patternFill>
    </fill>
    <fill>
      <patternFill patternType="solid">
        <fgColor rgb="FFB5B103"/>
        <bgColor indexed="64"/>
      </patternFill>
    </fill>
    <fill>
      <patternFill patternType="solid">
        <fgColor rgb="FFDA2A1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5DFC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16109"/>
        <bgColor indexed="64"/>
      </patternFill>
    </fill>
    <fill>
      <patternFill patternType="solid">
        <fgColor rgb="FFB2B60A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60FAF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5DC01A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43C5E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DEBF04"/>
        <bgColor indexed="64"/>
      </patternFill>
    </fill>
    <fill>
      <patternFill patternType="solid">
        <fgColor rgb="FFB1F1C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A3D9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FA5A1"/>
        <bgColor indexed="64"/>
      </patternFill>
    </fill>
    <fill>
      <patternFill patternType="solid">
        <fgColor rgb="FF86FA8C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625CE2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D562B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5841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19B37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02AD4"/>
        <bgColor indexed="64"/>
      </patternFill>
    </fill>
    <fill>
      <patternFill patternType="solid">
        <fgColor rgb="FFC0F222"/>
        <bgColor indexed="64"/>
      </patternFill>
    </fill>
    <fill>
      <patternFill patternType="solid">
        <fgColor rgb="FFFBE2A3"/>
        <bgColor indexed="64"/>
      </patternFill>
    </fill>
    <fill>
      <patternFill patternType="solid">
        <fgColor rgb="FF771345"/>
        <bgColor indexed="64"/>
      </patternFill>
    </fill>
    <fill>
      <patternFill patternType="solid">
        <fgColor rgb="FF72C65E"/>
        <bgColor indexed="64"/>
      </patternFill>
    </fill>
    <fill>
      <patternFill patternType="solid">
        <fgColor rgb="FF70FCE5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513B0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C7F0FD"/>
        <bgColor indexed="64"/>
      </patternFill>
    </fill>
    <fill>
      <patternFill patternType="solid">
        <fgColor rgb="FF40845F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9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5" borderId="1" xfId="0" applyFill="1" applyBorder="1" applyAlignment="1">
      <alignment horizontal="center"/>
    </xf>
    <xf numFmtId="3" fontId="0" fillId="0" borderId="1" xfId="0" applyNumberFormat="1" applyBorder="1"/>
    <xf numFmtId="3" fontId="0" fillId="0" borderId="2" xfId="0" applyNumberFormat="1" applyBorder="1"/>
    <xf numFmtId="0" fontId="1" fillId="6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3" fontId="0" fillId="0" borderId="3" xfId="0" applyNumberFormat="1" applyBorder="1"/>
    <xf numFmtId="0" fontId="6" fillId="0" borderId="0" xfId="0" applyFont="1"/>
    <xf numFmtId="0" fontId="0" fillId="7" borderId="1" xfId="0" applyFill="1" applyBorder="1"/>
    <xf numFmtId="3" fontId="0" fillId="0" borderId="0" xfId="0" applyNumberFormat="1"/>
    <xf numFmtId="14" fontId="0" fillId="10" borderId="2" xfId="0" applyNumberFormat="1" applyFill="1" applyBorder="1"/>
    <xf numFmtId="165" fontId="0" fillId="0" borderId="1" xfId="1" applyNumberFormat="1" applyFont="1" applyBorder="1"/>
    <xf numFmtId="0" fontId="0" fillId="2" borderId="1" xfId="0" applyFill="1" applyBorder="1"/>
    <xf numFmtId="14" fontId="0" fillId="13" borderId="3" xfId="0" applyNumberFormat="1" applyFill="1" applyBorder="1"/>
    <xf numFmtId="0" fontId="0" fillId="0" borderId="10" xfId="0" applyBorder="1"/>
    <xf numFmtId="14" fontId="0" fillId="0" borderId="1" xfId="0" applyNumberFormat="1" applyBorder="1" applyAlignment="1">
      <alignment horizontal="center"/>
    </xf>
    <xf numFmtId="3" fontId="1" fillId="14" borderId="1" xfId="0" applyNumberFormat="1" applyFont="1" applyFill="1" applyBorder="1"/>
    <xf numFmtId="0" fontId="1" fillId="14" borderId="1" xfId="0" applyFont="1" applyFill="1" applyBorder="1" applyAlignment="1">
      <alignment horizontal="center"/>
    </xf>
    <xf numFmtId="3" fontId="1" fillId="14" borderId="1" xfId="0" applyNumberFormat="1" applyFont="1" applyFill="1" applyBorder="1" applyAlignment="1">
      <alignment horizontal="center"/>
    </xf>
    <xf numFmtId="0" fontId="11" fillId="0" borderId="0" xfId="0" applyFont="1"/>
    <xf numFmtId="0" fontId="0" fillId="0" borderId="7" xfId="0" applyBorder="1"/>
    <xf numFmtId="0" fontId="1" fillId="2" borderId="4" xfId="0" applyFont="1" applyFill="1" applyBorder="1" applyAlignment="1">
      <alignment horizontal="center"/>
    </xf>
    <xf numFmtId="14" fontId="0" fillId="10" borderId="9" xfId="0" applyNumberFormat="1" applyFill="1" applyBorder="1"/>
    <xf numFmtId="14" fontId="0" fillId="10" borderId="3" xfId="0" applyNumberFormat="1" applyFill="1" applyBorder="1"/>
    <xf numFmtId="3" fontId="0" fillId="0" borderId="10" xfId="0" applyNumberFormat="1" applyBorder="1"/>
    <xf numFmtId="14" fontId="0" fillId="13" borderId="3" xfId="0" applyNumberFormat="1" applyFont="1" applyFill="1" applyBorder="1"/>
    <xf numFmtId="14" fontId="0" fillId="12" borderId="2" xfId="0" applyNumberFormat="1" applyFill="1" applyBorder="1"/>
    <xf numFmtId="14" fontId="0" fillId="12" borderId="3" xfId="0" applyNumberFormat="1" applyFill="1" applyBorder="1"/>
    <xf numFmtId="14" fontId="0" fillId="8" borderId="3" xfId="0" applyNumberFormat="1" applyFill="1" applyBorder="1"/>
    <xf numFmtId="14" fontId="0" fillId="8" borderId="2" xfId="0" applyNumberFormat="1" applyFill="1" applyBorder="1"/>
    <xf numFmtId="14" fontId="0" fillId="8" borderId="9" xfId="0" applyNumberFormat="1" applyFill="1" applyBorder="1"/>
    <xf numFmtId="0" fontId="9" fillId="0" borderId="11" xfId="0" applyFont="1" applyBorder="1"/>
    <xf numFmtId="14" fontId="0" fillId="15" borderId="3" xfId="0" applyNumberFormat="1" applyFill="1" applyBorder="1"/>
    <xf numFmtId="14" fontId="0" fillId="15" borderId="9" xfId="0" applyNumberFormat="1" applyFill="1" applyBorder="1"/>
    <xf numFmtId="0" fontId="0" fillId="0" borderId="9" xfId="0" applyBorder="1"/>
    <xf numFmtId="3" fontId="0" fillId="0" borderId="0" xfId="0" applyNumberFormat="1" applyBorder="1"/>
    <xf numFmtId="14" fontId="0" fillId="7" borderId="3" xfId="0" applyNumberFormat="1" applyFill="1" applyBorder="1"/>
    <xf numFmtId="0" fontId="9" fillId="2" borderId="1" xfId="0" applyFont="1" applyFill="1" applyBorder="1"/>
    <xf numFmtId="14" fontId="0" fillId="9" borderId="3" xfId="0" applyNumberFormat="1" applyFill="1" applyBorder="1"/>
    <xf numFmtId="0" fontId="0" fillId="0" borderId="5" xfId="0" applyBorder="1"/>
    <xf numFmtId="14" fontId="0" fillId="12" borderId="9" xfId="0" applyNumberFormat="1" applyFill="1" applyBorder="1"/>
    <xf numFmtId="0" fontId="9" fillId="2" borderId="2" xfId="0" applyFont="1" applyFill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/>
    <xf numFmtId="0" fontId="1" fillId="6" borderId="1" xfId="0" applyFont="1" applyFill="1" applyBorder="1"/>
    <xf numFmtId="3" fontId="0" fillId="4" borderId="1" xfId="0" applyNumberFormat="1" applyFill="1" applyBorder="1"/>
    <xf numFmtId="3" fontId="10" fillId="0" borderId="3" xfId="0" applyNumberFormat="1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14" fontId="0" fillId="9" borderId="9" xfId="0" applyNumberFormat="1" applyFill="1" applyBorder="1"/>
    <xf numFmtId="14" fontId="0" fillId="9" borderId="2" xfId="0" applyNumberFormat="1" applyFill="1" applyBorder="1"/>
    <xf numFmtId="0" fontId="0" fillId="0" borderId="0" xfId="0" applyFill="1" applyBorder="1"/>
    <xf numFmtId="3" fontId="0" fillId="0" borderId="6" xfId="0" applyNumberFormat="1" applyBorder="1"/>
    <xf numFmtId="14" fontId="0" fillId="0" borderId="3" xfId="0" applyNumberFormat="1" applyFill="1" applyBorder="1"/>
    <xf numFmtId="0" fontId="1" fillId="0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left" vertical="center"/>
    </xf>
    <xf numFmtId="3" fontId="0" fillId="0" borderId="0" xfId="0" applyNumberFormat="1" applyFill="1" applyBorder="1"/>
    <xf numFmtId="14" fontId="0" fillId="0" borderId="1" xfId="0" applyNumberFormat="1" applyFill="1" applyBorder="1"/>
    <xf numFmtId="0" fontId="1" fillId="14" borderId="9" xfId="0" applyFont="1" applyFill="1" applyBorder="1" applyAlignment="1">
      <alignment horizontal="center"/>
    </xf>
    <xf numFmtId="14" fontId="0" fillId="0" borderId="2" xfId="0" applyNumberFormat="1" applyFill="1" applyBorder="1"/>
    <xf numFmtId="14" fontId="0" fillId="0" borderId="3" xfId="0" applyNumberFormat="1" applyFont="1" applyFill="1" applyBorder="1"/>
    <xf numFmtId="0" fontId="1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" fontId="0" fillId="0" borderId="1" xfId="0" applyNumberFormat="1" applyBorder="1"/>
    <xf numFmtId="1" fontId="0" fillId="0" borderId="0" xfId="0" applyNumberFormat="1"/>
    <xf numFmtId="49" fontId="0" fillId="0" borderId="1" xfId="0" applyNumberForma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/>
    </xf>
    <xf numFmtId="49" fontId="0" fillId="0" borderId="1" xfId="0" applyNumberFormat="1" applyBorder="1"/>
    <xf numFmtId="49" fontId="0" fillId="0" borderId="0" xfId="0" applyNumberFormat="1" applyBorder="1"/>
    <xf numFmtId="49" fontId="0" fillId="0" borderId="0" xfId="0" applyNumberFormat="1"/>
    <xf numFmtId="14" fontId="0" fillId="0" borderId="0" xfId="0" applyNumberFormat="1" applyBorder="1"/>
    <xf numFmtId="14" fontId="0" fillId="0" borderId="0" xfId="0" applyNumberFormat="1"/>
    <xf numFmtId="164" fontId="0" fillId="0" borderId="0" xfId="1" applyFont="1"/>
    <xf numFmtId="165" fontId="0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49" fontId="0" fillId="17" borderId="2" xfId="0" applyNumberFormat="1" applyFill="1" applyBorder="1" applyAlignment="1">
      <alignment horizontal="center" vertical="center"/>
    </xf>
    <xf numFmtId="49" fontId="0" fillId="18" borderId="2" xfId="0" applyNumberFormat="1" applyFill="1" applyBorder="1" applyAlignment="1">
      <alignment horizontal="center" vertical="center"/>
    </xf>
    <xf numFmtId="1" fontId="0" fillId="18" borderId="1" xfId="0" applyNumberFormat="1" applyFill="1" applyBorder="1"/>
    <xf numFmtId="14" fontId="0" fillId="18" borderId="1" xfId="0" applyNumberFormat="1" applyFill="1" applyBorder="1"/>
    <xf numFmtId="165" fontId="0" fillId="18" borderId="1" xfId="1" applyNumberFormat="1" applyFont="1" applyFill="1" applyBorder="1"/>
    <xf numFmtId="49" fontId="9" fillId="0" borderId="11" xfId="0" applyNumberFormat="1" applyFont="1" applyBorder="1"/>
    <xf numFmtId="165" fontId="1" fillId="2" borderId="1" xfId="1" applyNumberFormat="1" applyFont="1" applyFill="1" applyBorder="1" applyAlignment="1">
      <alignment horizontal="center"/>
    </xf>
    <xf numFmtId="165" fontId="0" fillId="0" borderId="2" xfId="1" applyNumberFormat="1" applyFont="1" applyBorder="1"/>
    <xf numFmtId="165" fontId="10" fillId="0" borderId="3" xfId="1" applyNumberFormat="1" applyFont="1" applyFill="1" applyBorder="1"/>
    <xf numFmtId="165" fontId="0" fillId="0" borderId="3" xfId="1" applyNumberFormat="1" applyFont="1" applyBorder="1"/>
    <xf numFmtId="165" fontId="1" fillId="14" borderId="1" xfId="1" applyNumberFormat="1" applyFont="1" applyFill="1" applyBorder="1"/>
    <xf numFmtId="165" fontId="2" fillId="0" borderId="0" xfId="1" applyNumberFormat="1" applyFont="1" applyFill="1" applyBorder="1" applyAlignment="1">
      <alignment vertical="top"/>
    </xf>
    <xf numFmtId="165" fontId="0" fillId="0" borderId="0" xfId="1" applyNumberFormat="1" applyFont="1" applyFill="1" applyBorder="1" applyAlignment="1">
      <alignment vertical="top"/>
    </xf>
    <xf numFmtId="165" fontId="1" fillId="2" borderId="5" xfId="1" applyNumberFormat="1" applyFont="1" applyFill="1" applyBorder="1" applyAlignment="1">
      <alignment horizontal="center"/>
    </xf>
    <xf numFmtId="165" fontId="0" fillId="0" borderId="7" xfId="1" applyNumberFormat="1" applyFont="1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0" fontId="1" fillId="2" borderId="18" xfId="0" applyFont="1" applyFill="1" applyBorder="1"/>
    <xf numFmtId="165" fontId="1" fillId="14" borderId="1" xfId="1" applyNumberFormat="1" applyFont="1" applyFill="1" applyBorder="1" applyAlignment="1">
      <alignment horizontal="center"/>
    </xf>
    <xf numFmtId="165" fontId="1" fillId="6" borderId="1" xfId="1" applyNumberFormat="1" applyFont="1" applyFill="1" applyBorder="1" applyAlignment="1">
      <alignment horizontal="center"/>
    </xf>
    <xf numFmtId="165" fontId="0" fillId="0" borderId="1" xfId="1" applyNumberFormat="1" applyFont="1" applyFill="1" applyBorder="1"/>
    <xf numFmtId="0" fontId="1" fillId="0" borderId="0" xfId="0" applyFont="1" applyFill="1" applyBorder="1" applyAlignment="1"/>
    <xf numFmtId="164" fontId="0" fillId="0" borderId="0" xfId="1" applyFont="1" applyFill="1" applyBorder="1" applyAlignment="1"/>
    <xf numFmtId="164" fontId="0" fillId="0" borderId="0" xfId="1" applyFont="1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Fill="1" applyBorder="1" applyAlignment="1"/>
    <xf numFmtId="164" fontId="0" fillId="0" borderId="0" xfId="1" applyNumberFormat="1" applyFont="1" applyAlignment="1">
      <alignment horizontal="center"/>
    </xf>
    <xf numFmtId="164" fontId="0" fillId="0" borderId="0" xfId="1" applyFont="1" applyAlignment="1"/>
    <xf numFmtId="0" fontId="9" fillId="2" borderId="1" xfId="0" applyFont="1" applyFill="1" applyBorder="1" applyAlignment="1">
      <alignment horizontal="center"/>
    </xf>
    <xf numFmtId="165" fontId="9" fillId="2" borderId="1" xfId="1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1" fillId="2" borderId="0" xfId="0" applyFont="1" applyFill="1"/>
    <xf numFmtId="49" fontId="6" fillId="2" borderId="1" xfId="0" applyNumberFormat="1" applyFont="1" applyFill="1" applyBorder="1"/>
    <xf numFmtId="0" fontId="0" fillId="16" borderId="1" xfId="0" applyFill="1" applyBorder="1" applyAlignment="1">
      <alignment horizontal="center"/>
    </xf>
    <xf numFmtId="0" fontId="1" fillId="20" borderId="1" xfId="0" applyFont="1" applyFill="1" applyBorder="1" applyAlignment="1">
      <alignment horizontal="center" vertical="center"/>
    </xf>
    <xf numFmtId="0" fontId="0" fillId="20" borderId="1" xfId="0" applyFill="1" applyBorder="1"/>
    <xf numFmtId="49" fontId="0" fillId="19" borderId="1" xfId="0" applyNumberFormat="1" applyFill="1" applyBorder="1" applyAlignment="1">
      <alignment horizontal="center" vertical="center"/>
    </xf>
    <xf numFmtId="165" fontId="0" fillId="21" borderId="18" xfId="1" applyNumberFormat="1" applyFont="1" applyFill="1" applyBorder="1"/>
    <xf numFmtId="165" fontId="1" fillId="0" borderId="18" xfId="1" applyNumberFormat="1" applyFont="1" applyBorder="1"/>
    <xf numFmtId="14" fontId="0" fillId="0" borderId="10" xfId="0" applyNumberFormat="1" applyFill="1" applyBorder="1"/>
    <xf numFmtId="165" fontId="0" fillId="0" borderId="0" xfId="0" applyNumberFormat="1"/>
    <xf numFmtId="0" fontId="0" fillId="0" borderId="1" xfId="0" applyFill="1" applyBorder="1"/>
    <xf numFmtId="49" fontId="0" fillId="22" borderId="1" xfId="0" applyNumberFormat="1" applyFill="1" applyBorder="1" applyAlignment="1">
      <alignment horizontal="center" vertical="center"/>
    </xf>
    <xf numFmtId="3" fontId="0" fillId="0" borderId="4" xfId="0" applyNumberFormat="1" applyBorder="1"/>
    <xf numFmtId="3" fontId="0" fillId="0" borderId="11" xfId="0" applyNumberFormat="1" applyBorder="1"/>
    <xf numFmtId="165" fontId="0" fillId="0" borderId="9" xfId="1" applyNumberFormat="1" applyFont="1" applyBorder="1"/>
    <xf numFmtId="165" fontId="1" fillId="0" borderId="0" xfId="1" applyNumberFormat="1" applyFont="1"/>
    <xf numFmtId="165" fontId="0" fillId="0" borderId="3" xfId="1" applyNumberFormat="1" applyFont="1" applyFill="1" applyBorder="1"/>
    <xf numFmtId="165" fontId="0" fillId="0" borderId="0" xfId="1" applyNumberFormat="1" applyFont="1" applyFill="1" applyBorder="1"/>
    <xf numFmtId="0" fontId="0" fillId="0" borderId="3" xfId="0" applyFill="1" applyBorder="1"/>
    <xf numFmtId="165" fontId="0" fillId="0" borderId="2" xfId="1" applyNumberFormat="1" applyFont="1" applyFill="1" applyBorder="1"/>
    <xf numFmtId="165" fontId="10" fillId="0" borderId="2" xfId="1" applyNumberFormat="1" applyFont="1" applyFill="1" applyBorder="1"/>
    <xf numFmtId="0" fontId="10" fillId="0" borderId="2" xfId="0" applyFont="1" applyFill="1" applyBorder="1"/>
    <xf numFmtId="0" fontId="0" fillId="11" borderId="0" xfId="0" applyFill="1"/>
    <xf numFmtId="0" fontId="0" fillId="20" borderId="1" xfId="0" applyFill="1" applyBorder="1" applyAlignment="1">
      <alignment horizontal="center"/>
    </xf>
    <xf numFmtId="165" fontId="0" fillId="24" borderId="1" xfId="1" applyNumberFormat="1" applyFont="1" applyFill="1" applyBorder="1"/>
    <xf numFmtId="49" fontId="0" fillId="23" borderId="1" xfId="0" applyNumberFormat="1" applyFill="1" applyBorder="1" applyAlignment="1">
      <alignment horizontal="center" vertical="center"/>
    </xf>
    <xf numFmtId="165" fontId="1" fillId="0" borderId="2" xfId="1" applyNumberFormat="1" applyFont="1" applyBorder="1"/>
    <xf numFmtId="1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5" fontId="1" fillId="20" borderId="1" xfId="1" applyNumberFormat="1" applyFont="1" applyFill="1" applyBorder="1" applyAlignment="1">
      <alignment horizontal="center" vertical="center"/>
    </xf>
    <xf numFmtId="165" fontId="14" fillId="0" borderId="1" xfId="1" applyNumberFormat="1" applyFont="1" applyBorder="1"/>
    <xf numFmtId="165" fontId="0" fillId="0" borderId="6" xfId="1" applyNumberFormat="1" applyFont="1" applyBorder="1"/>
    <xf numFmtId="49" fontId="0" fillId="25" borderId="1" xfId="0" applyNumberFormat="1" applyFill="1" applyBorder="1" applyAlignment="1">
      <alignment horizontal="center" vertical="center"/>
    </xf>
    <xf numFmtId="0" fontId="0" fillId="0" borderId="0" xfId="0" applyFill="1"/>
    <xf numFmtId="0" fontId="0" fillId="20" borderId="0" xfId="0" applyFill="1"/>
    <xf numFmtId="14" fontId="0" fillId="28" borderId="1" xfId="0" applyNumberFormat="1" applyFill="1" applyBorder="1" applyAlignment="1">
      <alignment horizontal="center"/>
    </xf>
    <xf numFmtId="165" fontId="0" fillId="7" borderId="1" xfId="1" applyNumberFormat="1" applyFont="1" applyFill="1" applyBorder="1"/>
    <xf numFmtId="0" fontId="0" fillId="0" borderId="1" xfId="0" applyBorder="1" applyAlignment="1">
      <alignment horizontal="center"/>
    </xf>
    <xf numFmtId="0" fontId="0" fillId="27" borderId="0" xfId="0" applyFill="1"/>
    <xf numFmtId="0" fontId="0" fillId="2" borderId="1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14" fontId="0" fillId="29" borderId="1" xfId="0" applyNumberFormat="1" applyFill="1" applyBorder="1" applyAlignment="1">
      <alignment horizontal="center"/>
    </xf>
    <xf numFmtId="0" fontId="0" fillId="30" borderId="0" xfId="0" applyFill="1"/>
    <xf numFmtId="0" fontId="0" fillId="30" borderId="1" xfId="0" applyFill="1" applyBorder="1"/>
    <xf numFmtId="0" fontId="0" fillId="30" borderId="1" xfId="0" applyFill="1" applyBorder="1" applyAlignment="1">
      <alignment horizontal="center"/>
    </xf>
    <xf numFmtId="0" fontId="15" fillId="0" borderId="0" xfId="0" applyFont="1"/>
    <xf numFmtId="14" fontId="0" fillId="31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left" vertical="center"/>
    </xf>
    <xf numFmtId="165" fontId="0" fillId="0" borderId="0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2" applyNumberFormat="1" applyFont="1" applyAlignment="1">
      <alignment horizontal="left" vertical="center"/>
    </xf>
    <xf numFmtId="165" fontId="0" fillId="0" borderId="0" xfId="2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65" fontId="1" fillId="2" borderId="1" xfId="2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65" fontId="0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  <xf numFmtId="168" fontId="7" fillId="0" borderId="1" xfId="3" applyNumberFormat="1" applyFont="1" applyFill="1" applyBorder="1" applyAlignment="1">
      <alignment horizontal="center" vertical="center"/>
    </xf>
    <xf numFmtId="168" fontId="1" fillId="0" borderId="1" xfId="3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4" fontId="0" fillId="0" borderId="1" xfId="2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4" fontId="0" fillId="0" borderId="1" xfId="2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/>
    <xf numFmtId="0" fontId="0" fillId="0" borderId="1" xfId="0" applyBorder="1" applyAlignment="1">
      <alignment horizontal="left"/>
    </xf>
    <xf numFmtId="14" fontId="0" fillId="0" borderId="1" xfId="0" quotePrefix="1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165" fontId="0" fillId="0" borderId="1" xfId="2" applyNumberFormat="1" applyFont="1" applyBorder="1"/>
    <xf numFmtId="0" fontId="0" fillId="0" borderId="0" xfId="0" applyAlignment="1">
      <alignment horizontal="left"/>
    </xf>
    <xf numFmtId="165" fontId="0" fillId="0" borderId="0" xfId="2" applyNumberFormat="1" applyFont="1" applyAlignment="1">
      <alignment horizontal="center" vertical="center"/>
    </xf>
    <xf numFmtId="49" fontId="0" fillId="12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1" xfId="0" applyNumberFormat="1" applyFon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0" borderId="6" xfId="0" applyFill="1" applyBorder="1"/>
    <xf numFmtId="0" fontId="0" fillId="0" borderId="6" xfId="0" applyBorder="1"/>
    <xf numFmtId="0" fontId="15" fillId="0" borderId="10" xfId="0" applyFont="1" applyFill="1" applyBorder="1"/>
    <xf numFmtId="0" fontId="0" fillId="30" borderId="10" xfId="0" applyFill="1" applyBorder="1"/>
    <xf numFmtId="164" fontId="0" fillId="0" borderId="0" xfId="1" applyNumberFormat="1" applyFont="1" applyFill="1"/>
    <xf numFmtId="164" fontId="0" fillId="0" borderId="0" xfId="1" applyFont="1" applyFill="1"/>
    <xf numFmtId="164" fontId="9" fillId="0" borderId="0" xfId="1" applyFont="1" applyFill="1" applyBorder="1" applyAlignment="1">
      <alignment horizontal="center"/>
    </xf>
    <xf numFmtId="164" fontId="0" fillId="0" borderId="0" xfId="1" applyFont="1" applyFill="1" applyBorder="1"/>
    <xf numFmtId="0" fontId="9" fillId="0" borderId="0" xfId="0" applyFont="1" applyFill="1" applyBorder="1" applyAlignment="1">
      <alignment horizontal="center"/>
    </xf>
    <xf numFmtId="164" fontId="9" fillId="0" borderId="0" xfId="1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4" fontId="0" fillId="0" borderId="0" xfId="1" applyFont="1" applyFill="1" applyBorder="1" applyAlignment="1">
      <alignment horizontal="center"/>
    </xf>
    <xf numFmtId="164" fontId="0" fillId="0" borderId="0" xfId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164" fontId="8" fillId="0" borderId="0" xfId="1" applyNumberFormat="1" applyFont="1" applyFill="1" applyBorder="1" applyAlignment="1">
      <alignment horizontal="center"/>
    </xf>
    <xf numFmtId="164" fontId="8" fillId="0" borderId="0" xfId="1" applyFont="1" applyFill="1" applyBorder="1" applyAlignment="1">
      <alignment horizontal="center"/>
    </xf>
    <xf numFmtId="164" fontId="2" fillId="0" borderId="0" xfId="1" applyFont="1" applyFill="1" applyAlignment="1">
      <alignment horizontal="center" vertical="center"/>
    </xf>
    <xf numFmtId="165" fontId="1" fillId="0" borderId="1" xfId="1" applyNumberFormat="1" applyFont="1" applyFill="1" applyBorder="1"/>
    <xf numFmtId="14" fontId="0" fillId="20" borderId="1" xfId="0" applyNumberFormat="1" applyFill="1" applyBorder="1" applyAlignment="1">
      <alignment horizontal="center"/>
    </xf>
    <xf numFmtId="165" fontId="1" fillId="0" borderId="1" xfId="2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0" xfId="0" applyNumberFormat="1" applyFont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" xfId="2" applyNumberFormat="1" applyFont="1" applyBorder="1" applyAlignment="1">
      <alignment horizontal="left" vertical="center" wrapText="1"/>
    </xf>
    <xf numFmtId="1" fontId="1" fillId="0" borderId="1" xfId="2" applyNumberFormat="1" applyFont="1" applyFill="1" applyBorder="1" applyAlignment="1">
      <alignment horizontal="left" vertical="center" wrapText="1"/>
    </xf>
    <xf numFmtId="1" fontId="1" fillId="0" borderId="1" xfId="0" quotePrefix="1" applyNumberFormat="1" applyFont="1" applyBorder="1" applyAlignment="1">
      <alignment horizontal="left" vertical="center" wrapText="1"/>
    </xf>
    <xf numFmtId="49" fontId="16" fillId="0" borderId="1" xfId="0" applyNumberFormat="1" applyFont="1" applyFill="1" applyBorder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  <xf numFmtId="166" fontId="0" fillId="0" borderId="0" xfId="1" applyNumberFormat="1" applyFont="1" applyAlignment="1">
      <alignment horizontal="left"/>
    </xf>
    <xf numFmtId="166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Fill="1" applyBorder="1" applyAlignment="1">
      <alignment horizontal="right" vertical="center"/>
    </xf>
    <xf numFmtId="166" fontId="7" fillId="0" borderId="21" xfId="1" applyNumberFormat="1" applyFont="1" applyFill="1" applyBorder="1" applyAlignment="1">
      <alignment horizontal="right" vertical="center"/>
    </xf>
    <xf numFmtId="0" fontId="0" fillId="0" borderId="2" xfId="0" applyFill="1" applyBorder="1"/>
    <xf numFmtId="14" fontId="0" fillId="32" borderId="1" xfId="0" applyNumberForma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Border="1"/>
    <xf numFmtId="14" fontId="0" fillId="33" borderId="1" xfId="0" applyNumberFormat="1" applyFill="1" applyBorder="1" applyAlignment="1">
      <alignment horizontal="center"/>
    </xf>
    <xf numFmtId="49" fontId="0" fillId="0" borderId="0" xfId="0" applyNumberFormat="1" applyFill="1" applyBorder="1"/>
    <xf numFmtId="49" fontId="0" fillId="20" borderId="1" xfId="0" applyNumberFormat="1" applyFill="1" applyBorder="1" applyAlignment="1">
      <alignment horizontal="left" vertical="center"/>
    </xf>
    <xf numFmtId="165" fontId="0" fillId="20" borderId="1" xfId="2" applyNumberFormat="1" applyFont="1" applyFill="1" applyBorder="1" applyAlignment="1">
      <alignment horizontal="center" vertical="center"/>
    </xf>
    <xf numFmtId="0" fontId="0" fillId="20" borderId="1" xfId="0" applyFill="1" applyBorder="1" applyAlignment="1">
      <alignment horizontal="left" vertical="center"/>
    </xf>
    <xf numFmtId="1" fontId="0" fillId="20" borderId="1" xfId="0" applyNumberFormat="1" applyFill="1" applyBorder="1" applyAlignment="1">
      <alignment horizontal="center" vertical="center"/>
    </xf>
    <xf numFmtId="1" fontId="1" fillId="20" borderId="1" xfId="0" applyNumberFormat="1" applyFont="1" applyFill="1" applyBorder="1" applyAlignment="1">
      <alignment horizontal="left" vertical="center" wrapText="1"/>
    </xf>
    <xf numFmtId="14" fontId="0" fillId="20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68" fontId="0" fillId="20" borderId="1" xfId="0" applyNumberFormat="1" applyFill="1" applyBorder="1" applyAlignment="1">
      <alignment horizontal="center" vertical="center"/>
    </xf>
    <xf numFmtId="0" fontId="0" fillId="20" borderId="0" xfId="0" applyFill="1" applyAlignment="1">
      <alignment horizontal="center"/>
    </xf>
    <xf numFmtId="49" fontId="1" fillId="0" borderId="2" xfId="0" applyNumberFormat="1" applyFont="1" applyBorder="1"/>
    <xf numFmtId="49" fontId="1" fillId="20" borderId="1" xfId="0" applyNumberFormat="1" applyFont="1" applyFill="1" applyBorder="1"/>
    <xf numFmtId="14" fontId="0" fillId="32" borderId="3" xfId="0" applyNumberFormat="1" applyFill="1" applyBorder="1" applyAlignment="1">
      <alignment horizontal="center"/>
    </xf>
    <xf numFmtId="14" fontId="0" fillId="33" borderId="3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165" fontId="18" fillId="0" borderId="1" xfId="1" applyNumberFormat="1" applyFont="1" applyFill="1" applyBorder="1"/>
    <xf numFmtId="49" fontId="1" fillId="0" borderId="0" xfId="0" applyNumberFormat="1" applyFont="1" applyBorder="1"/>
    <xf numFmtId="14" fontId="0" fillId="34" borderId="1" xfId="0" applyNumberFormat="1" applyFill="1" applyBorder="1" applyAlignment="1">
      <alignment horizontal="center"/>
    </xf>
    <xf numFmtId="14" fontId="0" fillId="34" borderId="3" xfId="0" applyNumberFormat="1" applyFill="1" applyBorder="1" applyAlignment="1">
      <alignment horizontal="center"/>
    </xf>
    <xf numFmtId="49" fontId="0" fillId="35" borderId="1" xfId="0" applyNumberFormat="1" applyFill="1" applyBorder="1" applyAlignment="1">
      <alignment horizontal="left" vertical="center"/>
    </xf>
    <xf numFmtId="165" fontId="0" fillId="35" borderId="1" xfId="2" applyNumberFormat="1" applyFont="1" applyFill="1" applyBorder="1" applyAlignment="1">
      <alignment horizontal="center" vertical="center"/>
    </xf>
    <xf numFmtId="0" fontId="0" fillId="35" borderId="1" xfId="0" applyFill="1" applyBorder="1" applyAlignment="1">
      <alignment horizontal="left" vertical="center"/>
    </xf>
    <xf numFmtId="1" fontId="0" fillId="35" borderId="1" xfId="0" applyNumberFormat="1" applyFill="1" applyBorder="1" applyAlignment="1">
      <alignment horizontal="center" vertical="center"/>
    </xf>
    <xf numFmtId="14" fontId="0" fillId="35" borderId="1" xfId="0" applyNumberFormat="1" applyFill="1" applyBorder="1" applyAlignment="1">
      <alignment horizontal="center" vertical="center"/>
    </xf>
    <xf numFmtId="14" fontId="0" fillId="36" borderId="1" xfId="0" applyNumberFormat="1" applyFill="1" applyBorder="1" applyAlignment="1">
      <alignment horizontal="center"/>
    </xf>
    <xf numFmtId="165" fontId="0" fillId="0" borderId="1" xfId="2" applyNumberFormat="1" applyFont="1" applyBorder="1" applyAlignment="1">
      <alignment horizontal="left" vertical="center"/>
    </xf>
    <xf numFmtId="49" fontId="0" fillId="37" borderId="1" xfId="0" applyNumberFormat="1" applyFill="1" applyBorder="1" applyAlignment="1">
      <alignment horizontal="left" vertical="center"/>
    </xf>
    <xf numFmtId="165" fontId="0" fillId="37" borderId="1" xfId="2" applyNumberFormat="1" applyFont="1" applyFill="1" applyBorder="1" applyAlignment="1">
      <alignment horizontal="center" vertical="center"/>
    </xf>
    <xf numFmtId="0" fontId="0" fillId="37" borderId="1" xfId="0" applyFill="1" applyBorder="1" applyAlignment="1">
      <alignment horizontal="left" vertical="center"/>
    </xf>
    <xf numFmtId="1" fontId="0" fillId="37" borderId="1" xfId="0" applyNumberFormat="1" applyFill="1" applyBorder="1" applyAlignment="1">
      <alignment horizontal="center" vertical="center"/>
    </xf>
    <xf numFmtId="1" fontId="1" fillId="37" borderId="1" xfId="0" applyNumberFormat="1" applyFont="1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/>
    </xf>
    <xf numFmtId="165" fontId="0" fillId="5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" fontId="0" fillId="5" borderId="1" xfId="0" applyNumberForma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left" vertical="center" wrapText="1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8" fontId="0" fillId="5" borderId="1" xfId="0" applyNumberForma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14" fontId="0" fillId="36" borderId="3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4" fontId="0" fillId="27" borderId="3" xfId="0" applyNumberFormat="1" applyFill="1" applyBorder="1" applyAlignment="1">
      <alignment horizontal="center" vertical="center"/>
    </xf>
    <xf numFmtId="165" fontId="7" fillId="0" borderId="1" xfId="1" applyNumberFormat="1" applyFont="1" applyBorder="1"/>
    <xf numFmtId="165" fontId="7" fillId="0" borderId="1" xfId="1" applyNumberFormat="1" applyFont="1" applyFill="1" applyBorder="1"/>
    <xf numFmtId="49" fontId="1" fillId="5" borderId="1" xfId="0" applyNumberFormat="1" applyFont="1" applyFill="1" applyBorder="1"/>
    <xf numFmtId="14" fontId="15" fillId="38" borderId="1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center"/>
    </xf>
    <xf numFmtId="165" fontId="7" fillId="7" borderId="1" xfId="1" applyNumberFormat="1" applyFont="1" applyFill="1" applyBorder="1"/>
    <xf numFmtId="14" fontId="15" fillId="39" borderId="1" xfId="0" applyNumberFormat="1" applyFont="1" applyFill="1" applyBorder="1" applyAlignment="1">
      <alignment horizontal="center"/>
    </xf>
    <xf numFmtId="165" fontId="0" fillId="40" borderId="2" xfId="1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/>
    </xf>
    <xf numFmtId="0" fontId="0" fillId="5" borderId="3" xfId="0" applyFill="1" applyBorder="1"/>
    <xf numFmtId="0" fontId="0" fillId="5" borderId="0" xfId="0" applyFill="1" applyAlignment="1">
      <alignment horizontal="center"/>
    </xf>
    <xf numFmtId="14" fontId="15" fillId="29" borderId="1" xfId="0" applyNumberFormat="1" applyFont="1" applyFill="1" applyBorder="1" applyAlignment="1">
      <alignment horizontal="center"/>
    </xf>
    <xf numFmtId="14" fontId="1" fillId="35" borderId="2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6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49" fontId="1" fillId="0" borderId="2" xfId="0" applyNumberFormat="1" applyFont="1" applyFill="1" applyBorder="1"/>
    <xf numFmtId="0" fontId="0" fillId="0" borderId="1" xfId="0" applyNumberFormat="1" applyFont="1" applyFill="1" applyBorder="1" applyAlignment="1">
      <alignment horizontal="center"/>
    </xf>
    <xf numFmtId="14" fontId="10" fillId="41" borderId="1" xfId="0" applyNumberFormat="1" applyFont="1" applyFill="1" applyBorder="1" applyAlignment="1">
      <alignment horizontal="center" vertical="center"/>
    </xf>
    <xf numFmtId="165" fontId="7" fillId="7" borderId="2" xfId="1" applyNumberFormat="1" applyFont="1" applyFill="1" applyBorder="1"/>
    <xf numFmtId="49" fontId="0" fillId="0" borderId="1" xfId="0" applyNumberFormat="1" applyFill="1" applyBorder="1"/>
    <xf numFmtId="14" fontId="15" fillId="39" borderId="3" xfId="0" applyNumberFormat="1" applyFont="1" applyFill="1" applyBorder="1" applyAlignment="1">
      <alignment horizontal="center"/>
    </xf>
    <xf numFmtId="14" fontId="15" fillId="38" borderId="9" xfId="0" applyNumberFormat="1" applyFont="1" applyFill="1" applyBorder="1" applyAlignment="1">
      <alignment horizontal="center"/>
    </xf>
    <xf numFmtId="14" fontId="15" fillId="29" borderId="3" xfId="0" applyNumberFormat="1" applyFont="1" applyFill="1" applyBorder="1" applyAlignment="1">
      <alignment horizontal="center"/>
    </xf>
    <xf numFmtId="14" fontId="0" fillId="34" borderId="2" xfId="0" applyNumberFormat="1" applyFill="1" applyBorder="1" applyAlignment="1">
      <alignment horizontal="center"/>
    </xf>
    <xf numFmtId="49" fontId="0" fillId="18" borderId="3" xfId="0" applyNumberFormat="1" applyFill="1" applyBorder="1" applyAlignment="1">
      <alignment horizontal="center" vertical="center"/>
    </xf>
    <xf numFmtId="49" fontId="0" fillId="17" borderId="3" xfId="0" applyNumberFormat="1" applyFill="1" applyBorder="1" applyAlignment="1">
      <alignment horizontal="center" vertical="center"/>
    </xf>
    <xf numFmtId="49" fontId="0" fillId="19" borderId="3" xfId="0" applyNumberFormat="1" applyFill="1" applyBorder="1" applyAlignment="1">
      <alignment horizontal="center" vertical="center"/>
    </xf>
    <xf numFmtId="49" fontId="0" fillId="22" borderId="3" xfId="0" applyNumberFormat="1" applyFill="1" applyBorder="1" applyAlignment="1">
      <alignment horizontal="center" vertical="center"/>
    </xf>
    <xf numFmtId="49" fontId="0" fillId="23" borderId="3" xfId="0" applyNumberFormat="1" applyFill="1" applyBorder="1" applyAlignment="1">
      <alignment horizontal="center" vertical="center"/>
    </xf>
    <xf numFmtId="49" fontId="0" fillId="25" borderId="3" xfId="0" applyNumberFormat="1" applyFill="1" applyBorder="1" applyAlignment="1">
      <alignment horizontal="center" vertical="center"/>
    </xf>
    <xf numFmtId="14" fontId="0" fillId="29" borderId="3" xfId="0" applyNumberFormat="1" applyFill="1" applyBorder="1" applyAlignment="1">
      <alignment horizontal="center" vertical="center"/>
    </xf>
    <xf numFmtId="14" fontId="0" fillId="20" borderId="3" xfId="0" applyNumberFormat="1" applyFill="1" applyBorder="1" applyAlignment="1">
      <alignment horizontal="center" vertical="center"/>
    </xf>
    <xf numFmtId="14" fontId="0" fillId="28" borderId="3" xfId="0" applyNumberForma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14" fontId="0" fillId="34" borderId="3" xfId="0" applyNumberFormat="1" applyFill="1" applyBorder="1" applyAlignment="1">
      <alignment horizontal="center" vertical="center"/>
    </xf>
    <xf numFmtId="14" fontId="15" fillId="38" borderId="2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/>
    <xf numFmtId="166" fontId="7" fillId="0" borderId="1" xfId="1" applyNumberFormat="1" applyFont="1" applyFill="1" applyBorder="1"/>
    <xf numFmtId="0" fontId="0" fillId="0" borderId="0" xfId="0" applyFont="1"/>
    <xf numFmtId="0" fontId="0" fillId="0" borderId="1" xfId="0" applyFont="1" applyBorder="1"/>
    <xf numFmtId="166" fontId="7" fillId="0" borderId="0" xfId="1" applyNumberFormat="1" applyFont="1" applyFill="1" applyBorder="1"/>
    <xf numFmtId="165" fontId="0" fillId="16" borderId="2" xfId="1" applyNumberFormat="1" applyFont="1" applyFill="1" applyBorder="1" applyAlignment="1">
      <alignment horizontal="center" vertical="center"/>
    </xf>
    <xf numFmtId="14" fontId="10" fillId="41" borderId="3" xfId="0" applyNumberFormat="1" applyFont="1" applyFill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/>
    <xf numFmtId="165" fontId="10" fillId="0" borderId="1" xfId="1" applyNumberFormat="1" applyFont="1" applyFill="1" applyBorder="1"/>
    <xf numFmtId="14" fontId="10" fillId="42" borderId="1" xfId="0" applyNumberFormat="1" applyFont="1" applyFill="1" applyBorder="1" applyAlignment="1">
      <alignment horizontal="center" vertical="center"/>
    </xf>
    <xf numFmtId="14" fontId="10" fillId="42" borderId="3" xfId="0" applyNumberFormat="1" applyFont="1" applyFill="1" applyBorder="1" applyAlignment="1">
      <alignment horizontal="center" vertical="center"/>
    </xf>
    <xf numFmtId="1" fontId="0" fillId="0" borderId="2" xfId="1" applyNumberFormat="1" applyFont="1" applyFill="1" applyBorder="1" applyAlignment="1">
      <alignment horizontal="center" vertical="center"/>
    </xf>
    <xf numFmtId="1" fontId="1" fillId="35" borderId="1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left" vertical="center"/>
    </xf>
    <xf numFmtId="166" fontId="0" fillId="0" borderId="0" xfId="1" applyNumberFormat="1" applyFont="1"/>
    <xf numFmtId="14" fontId="10" fillId="43" borderId="1" xfId="0" applyNumberFormat="1" applyFont="1" applyFill="1" applyBorder="1" applyAlignment="1">
      <alignment horizontal="center" vertical="center"/>
    </xf>
    <xf numFmtId="14" fontId="10" fillId="44" borderId="1" xfId="0" applyNumberFormat="1" applyFont="1" applyFill="1" applyBorder="1" applyAlignment="1">
      <alignment horizontal="center" vertical="center"/>
    </xf>
    <xf numFmtId="14" fontId="10" fillId="44" borderId="3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/>
    </xf>
    <xf numFmtId="14" fontId="10" fillId="45" borderId="1" xfId="0" applyNumberFormat="1" applyFont="1" applyFill="1" applyBorder="1" applyAlignment="1">
      <alignment horizontal="center" vertical="center"/>
    </xf>
    <xf numFmtId="14" fontId="10" fillId="46" borderId="1" xfId="0" applyNumberFormat="1" applyFont="1" applyFill="1" applyBorder="1" applyAlignment="1">
      <alignment horizontal="center" vertical="center"/>
    </xf>
    <xf numFmtId="49" fontId="0" fillId="47" borderId="1" xfId="0" applyNumberFormat="1" applyFill="1" applyBorder="1" applyAlignment="1">
      <alignment horizontal="left" vertical="center"/>
    </xf>
    <xf numFmtId="165" fontId="0" fillId="47" borderId="1" xfId="2" applyNumberFormat="1" applyFont="1" applyFill="1" applyBorder="1" applyAlignment="1">
      <alignment horizontal="center" vertical="center"/>
    </xf>
    <xf numFmtId="0" fontId="0" fillId="47" borderId="1" xfId="0" applyFill="1" applyBorder="1" applyAlignment="1">
      <alignment horizontal="left" vertical="center"/>
    </xf>
    <xf numFmtId="1" fontId="0" fillId="47" borderId="1" xfId="0" applyNumberFormat="1" applyFill="1" applyBorder="1" applyAlignment="1">
      <alignment horizontal="center" vertical="center"/>
    </xf>
    <xf numFmtId="14" fontId="19" fillId="48" borderId="1" xfId="0" applyNumberFormat="1" applyFont="1" applyFill="1" applyBorder="1" applyAlignment="1">
      <alignment horizontal="center" vertical="center"/>
    </xf>
    <xf numFmtId="0" fontId="0" fillId="25" borderId="1" xfId="0" applyNumberFormat="1" applyFont="1" applyFill="1" applyBorder="1" applyAlignment="1">
      <alignment horizontal="center"/>
    </xf>
    <xf numFmtId="0" fontId="0" fillId="25" borderId="1" xfId="0" applyNumberFormat="1" applyFill="1" applyBorder="1" applyAlignment="1">
      <alignment horizontal="center"/>
    </xf>
    <xf numFmtId="14" fontId="19" fillId="48" borderId="3" xfId="0" applyNumberFormat="1" applyFont="1" applyFill="1" applyBorder="1" applyAlignment="1">
      <alignment horizontal="center" vertical="center"/>
    </xf>
    <xf numFmtId="14" fontId="10" fillId="49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66" fontId="7" fillId="0" borderId="1" xfId="1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47" borderId="1" xfId="0" applyFill="1" applyBorder="1" applyAlignment="1">
      <alignment horizontal="center" vertical="center"/>
    </xf>
    <xf numFmtId="14" fontId="10" fillId="50" borderId="1" xfId="0" applyNumberFormat="1" applyFont="1" applyFill="1" applyBorder="1" applyAlignment="1">
      <alignment horizontal="center" vertical="center"/>
    </xf>
    <xf numFmtId="14" fontId="10" fillId="51" borderId="1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166" fontId="7" fillId="0" borderId="1" xfId="1" applyNumberFormat="1" applyFont="1" applyFill="1" applyBorder="1" applyAlignment="1">
      <alignment horizontal="left"/>
    </xf>
    <xf numFmtId="14" fontId="10" fillId="51" borderId="3" xfId="0" applyNumberFormat="1" applyFont="1" applyFill="1" applyBorder="1" applyAlignment="1">
      <alignment horizontal="center" vertical="center"/>
    </xf>
    <xf numFmtId="14" fontId="10" fillId="52" borderId="1" xfId="0" applyNumberFormat="1" applyFont="1" applyFill="1" applyBorder="1" applyAlignment="1">
      <alignment horizontal="center" vertical="center"/>
    </xf>
    <xf numFmtId="14" fontId="10" fillId="52" borderId="3" xfId="0" applyNumberFormat="1" applyFont="1" applyFill="1" applyBorder="1" applyAlignment="1">
      <alignment horizontal="center" vertical="center"/>
    </xf>
    <xf numFmtId="14" fontId="10" fillId="53" borderId="1" xfId="0" applyNumberFormat="1" applyFont="1" applyFill="1" applyBorder="1" applyAlignment="1">
      <alignment horizontal="center"/>
    </xf>
    <xf numFmtId="14" fontId="10" fillId="53" borderId="3" xfId="0" applyNumberFormat="1" applyFont="1" applyFill="1" applyBorder="1" applyAlignment="1">
      <alignment horizontal="center"/>
    </xf>
    <xf numFmtId="14" fontId="10" fillId="54" borderId="1" xfId="0" applyNumberFormat="1" applyFont="1" applyFill="1" applyBorder="1" applyAlignment="1">
      <alignment horizontal="center" vertical="center"/>
    </xf>
    <xf numFmtId="14" fontId="10" fillId="54" borderId="3" xfId="0" applyNumberFormat="1" applyFont="1" applyFill="1" applyBorder="1" applyAlignment="1">
      <alignment horizontal="center" vertical="center"/>
    </xf>
    <xf numFmtId="165" fontId="0" fillId="55" borderId="2" xfId="1" applyNumberFormat="1" applyFont="1" applyFill="1" applyBorder="1" applyAlignment="1">
      <alignment horizontal="center" vertical="center"/>
    </xf>
    <xf numFmtId="166" fontId="7" fillId="0" borderId="3" xfId="1" applyNumberFormat="1" applyFont="1" applyFill="1" applyBorder="1"/>
    <xf numFmtId="166" fontId="7" fillId="0" borderId="2" xfId="1" applyNumberFormat="1" applyFont="1" applyFill="1" applyBorder="1"/>
    <xf numFmtId="14" fontId="10" fillId="56" borderId="1" xfId="0" applyNumberFormat="1" applyFont="1" applyFill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10" fillId="56" borderId="3" xfId="0" applyNumberFormat="1" applyFont="1" applyFill="1" applyBorder="1" applyAlignment="1">
      <alignment horizontal="center"/>
    </xf>
    <xf numFmtId="14" fontId="10" fillId="57" borderId="1" xfId="0" applyNumberFormat="1" applyFont="1" applyFill="1" applyBorder="1" applyAlignment="1">
      <alignment horizontal="center" vertical="center"/>
    </xf>
    <xf numFmtId="14" fontId="10" fillId="57" borderId="3" xfId="0" applyNumberFormat="1" applyFont="1" applyFill="1" applyBorder="1" applyAlignment="1">
      <alignment horizontal="center" vertical="center"/>
    </xf>
    <xf numFmtId="166" fontId="7" fillId="20" borderId="2" xfId="1" applyNumberFormat="1" applyFont="1" applyFill="1" applyBorder="1"/>
    <xf numFmtId="14" fontId="10" fillId="58" borderId="1" xfId="0" applyNumberFormat="1" applyFont="1" applyFill="1" applyBorder="1" applyAlignment="1">
      <alignment horizontal="center" vertical="center"/>
    </xf>
    <xf numFmtId="14" fontId="10" fillId="58" borderId="3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/>
    <xf numFmtId="0" fontId="1" fillId="0" borderId="0" xfId="0" applyFont="1" applyFill="1" applyBorder="1" applyAlignment="1">
      <alignment vertical="center"/>
    </xf>
    <xf numFmtId="1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166" fontId="0" fillId="0" borderId="0" xfId="1" applyNumberFormat="1" applyFont="1" applyFill="1" applyBorder="1" applyAlignment="1">
      <alignment horizontal="center" vertical="center"/>
    </xf>
    <xf numFmtId="0" fontId="0" fillId="0" borderId="1" xfId="0" applyFont="1" applyFill="1" applyBorder="1"/>
    <xf numFmtId="0" fontId="15" fillId="60" borderId="1" xfId="0" applyNumberFormat="1" applyFont="1" applyFill="1" applyBorder="1" applyAlignment="1">
      <alignment horizontal="center" vertical="center"/>
    </xf>
    <xf numFmtId="0" fontId="15" fillId="60" borderId="3" xfId="0" applyNumberFormat="1" applyFont="1" applyFill="1" applyBorder="1" applyAlignment="1">
      <alignment horizontal="center" vertical="center"/>
    </xf>
    <xf numFmtId="14" fontId="10" fillId="69" borderId="1" xfId="0" applyNumberFormat="1" applyFont="1" applyFill="1" applyBorder="1" applyAlignment="1">
      <alignment horizontal="center" vertical="center"/>
    </xf>
    <xf numFmtId="14" fontId="10" fillId="69" borderId="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49" fontId="0" fillId="0" borderId="2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14" fontId="0" fillId="0" borderId="0" xfId="0" applyNumberFormat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17" fillId="0" borderId="0" xfId="0" applyNumberFormat="1" applyFont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14" fontId="0" fillId="0" borderId="2" xfId="0" applyNumberFormat="1" applyFont="1" applyFill="1" applyBorder="1" applyAlignment="1">
      <alignment horizontal="center"/>
    </xf>
    <xf numFmtId="14" fontId="10" fillId="0" borderId="2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165" fontId="10" fillId="0" borderId="2" xfId="1" applyNumberFormat="1" applyFont="1" applyFill="1" applyBorder="1" applyAlignment="1">
      <alignment horizontal="center"/>
    </xf>
    <xf numFmtId="165" fontId="0" fillId="0" borderId="2" xfId="1" applyNumberFormat="1" applyFont="1" applyFill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7" fillId="0" borderId="1" xfId="1" applyNumberFormat="1" applyFont="1" applyFill="1" applyBorder="1" applyAlignment="1">
      <alignment horizontal="center"/>
    </xf>
    <xf numFmtId="165" fontId="7" fillId="0" borderId="2" xfId="1" applyNumberFormat="1" applyFont="1" applyFill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5" fontId="0" fillId="21" borderId="18" xfId="1" applyNumberFormat="1" applyFont="1" applyFill="1" applyBorder="1" applyAlignment="1">
      <alignment horizontal="center"/>
    </xf>
    <xf numFmtId="14" fontId="10" fillId="71" borderId="1" xfId="0" applyNumberFormat="1" applyFont="1" applyFill="1" applyBorder="1" applyAlignment="1">
      <alignment horizontal="center"/>
    </xf>
    <xf numFmtId="14" fontId="10" fillId="71" borderId="3" xfId="0" applyNumberFormat="1" applyFont="1" applyFill="1" applyBorder="1" applyAlignment="1">
      <alignment horizontal="center"/>
    </xf>
    <xf numFmtId="14" fontId="0" fillId="0" borderId="9" xfId="0" applyNumberFormat="1" applyFill="1" applyBorder="1" applyAlignment="1">
      <alignment horizontal="center"/>
    </xf>
    <xf numFmtId="14" fontId="0" fillId="0" borderId="6" xfId="0" applyNumberFormat="1" applyFill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165" fontId="0" fillId="0" borderId="5" xfId="1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4" fontId="10" fillId="72" borderId="1" xfId="0" applyNumberFormat="1" applyFont="1" applyFill="1" applyBorder="1" applyAlignment="1">
      <alignment horizontal="center"/>
    </xf>
    <xf numFmtId="14" fontId="10" fillId="72" borderId="3" xfId="0" applyNumberFormat="1" applyFont="1" applyFill="1" applyBorder="1" applyAlignment="1">
      <alignment horizontal="center"/>
    </xf>
    <xf numFmtId="165" fontId="0" fillId="7" borderId="1" xfId="1" applyNumberFormat="1" applyFont="1" applyFill="1" applyBorder="1" applyAlignment="1">
      <alignment horizontal="center"/>
    </xf>
    <xf numFmtId="49" fontId="0" fillId="0" borderId="0" xfId="0" applyNumberFormat="1" applyFill="1"/>
    <xf numFmtId="14" fontId="10" fillId="73" borderId="1" xfId="0" applyNumberFormat="1" applyFont="1" applyFill="1" applyBorder="1" applyAlignment="1">
      <alignment horizontal="center"/>
    </xf>
    <xf numFmtId="14" fontId="10" fillId="73" borderId="3" xfId="0" applyNumberFormat="1" applyFont="1" applyFill="1" applyBorder="1" applyAlignment="1">
      <alignment horizontal="center"/>
    </xf>
    <xf numFmtId="14" fontId="0" fillId="74" borderId="1" xfId="0" applyNumberFormat="1" applyFont="1" applyFill="1" applyBorder="1" applyAlignment="1">
      <alignment horizontal="center"/>
    </xf>
    <xf numFmtId="165" fontId="0" fillId="5" borderId="1" xfId="1" applyNumberFormat="1" applyFont="1" applyFill="1" applyBorder="1" applyAlignment="1">
      <alignment horizontal="center"/>
    </xf>
    <xf numFmtId="14" fontId="0" fillId="74" borderId="3" xfId="0" applyNumberFormat="1" applyFont="1" applyFill="1" applyBorder="1" applyAlignment="1">
      <alignment horizontal="center"/>
    </xf>
    <xf numFmtId="14" fontId="21" fillId="76" borderId="1" xfId="0" applyNumberFormat="1" applyFont="1" applyFill="1" applyBorder="1" applyAlignment="1">
      <alignment horizontal="center"/>
    </xf>
    <xf numFmtId="14" fontId="21" fillId="76" borderId="3" xfId="0" applyNumberFormat="1" applyFont="1" applyFill="1" applyBorder="1" applyAlignment="1">
      <alignment horizontal="center"/>
    </xf>
    <xf numFmtId="1" fontId="0" fillId="0" borderId="24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4" fontId="10" fillId="77" borderId="1" xfId="0" applyNumberFormat="1" applyFont="1" applyFill="1" applyBorder="1" applyAlignment="1">
      <alignment horizontal="center"/>
    </xf>
    <xf numFmtId="14" fontId="10" fillId="77" borderId="3" xfId="0" applyNumberFormat="1" applyFont="1" applyFill="1" applyBorder="1" applyAlignment="1">
      <alignment horizontal="center"/>
    </xf>
    <xf numFmtId="0" fontId="10" fillId="78" borderId="1" xfId="0" applyNumberFormat="1" applyFont="1" applyFill="1" applyBorder="1" applyAlignment="1">
      <alignment horizontal="center"/>
    </xf>
    <xf numFmtId="0" fontId="10" fillId="78" borderId="3" xfId="0" applyNumberFormat="1" applyFont="1" applyFill="1" applyBorder="1" applyAlignment="1">
      <alignment horizontal="center"/>
    </xf>
    <xf numFmtId="0" fontId="10" fillId="81" borderId="1" xfId="0" applyNumberFormat="1" applyFont="1" applyFill="1" applyBorder="1" applyAlignment="1">
      <alignment horizontal="center"/>
    </xf>
    <xf numFmtId="165" fontId="0" fillId="55" borderId="1" xfId="1" applyNumberFormat="1" applyFont="1" applyFill="1" applyBorder="1" applyAlignment="1">
      <alignment horizontal="center" vertical="center"/>
    </xf>
    <xf numFmtId="0" fontId="10" fillId="81" borderId="3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0" fillId="82" borderId="3" xfId="0" applyNumberFormat="1" applyFont="1" applyFill="1" applyBorder="1" applyAlignment="1">
      <alignment horizontal="center"/>
    </xf>
    <xf numFmtId="1" fontId="0" fillId="13" borderId="1" xfId="0" applyNumberFormat="1" applyFill="1" applyBorder="1" applyAlignment="1">
      <alignment horizontal="center" vertical="center"/>
    </xf>
    <xf numFmtId="0" fontId="10" fillId="82" borderId="9" xfId="0" applyNumberFormat="1" applyFont="1" applyFill="1" applyBorder="1" applyAlignment="1">
      <alignment horizontal="center"/>
    </xf>
    <xf numFmtId="165" fontId="7" fillId="0" borderId="9" xfId="1" applyNumberFormat="1" applyFont="1" applyFill="1" applyBorder="1" applyAlignment="1">
      <alignment horizontal="center"/>
    </xf>
    <xf numFmtId="165" fontId="0" fillId="0" borderId="9" xfId="1" applyNumberFormat="1" applyFont="1" applyFill="1" applyBorder="1"/>
    <xf numFmtId="0" fontId="0" fillId="0" borderId="9" xfId="0" applyFill="1" applyBorder="1"/>
    <xf numFmtId="0" fontId="10" fillId="83" borderId="1" xfId="0" applyNumberFormat="1" applyFont="1" applyFill="1" applyBorder="1" applyAlignment="1">
      <alignment horizontal="center"/>
    </xf>
    <xf numFmtId="0" fontId="0" fillId="84" borderId="9" xfId="0" applyNumberFormat="1" applyFont="1" applyFill="1" applyBorder="1" applyAlignment="1">
      <alignment horizontal="center"/>
    </xf>
    <xf numFmtId="0" fontId="10" fillId="83" borderId="3" xfId="0" applyNumberFormat="1" applyFont="1" applyFill="1" applyBorder="1" applyAlignment="1">
      <alignment horizontal="center"/>
    </xf>
    <xf numFmtId="165" fontId="0" fillId="26" borderId="2" xfId="1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/>
    </xf>
    <xf numFmtId="14" fontId="10" fillId="85" borderId="1" xfId="0" applyNumberFormat="1" applyFont="1" applyFill="1" applyBorder="1" applyAlignment="1">
      <alignment horizontal="center"/>
    </xf>
    <xf numFmtId="14" fontId="10" fillId="85" borderId="3" xfId="0" applyNumberFormat="1" applyFont="1" applyFill="1" applyBorder="1" applyAlignment="1">
      <alignment horizontal="center"/>
    </xf>
    <xf numFmtId="0" fontId="0" fillId="86" borderId="1" xfId="0" applyFill="1" applyBorder="1" applyAlignment="1">
      <alignment horizontal="center" vertical="center"/>
    </xf>
    <xf numFmtId="0" fontId="1" fillId="86" borderId="1" xfId="0" applyFont="1" applyFill="1" applyBorder="1" applyAlignment="1">
      <alignment horizontal="left" vertical="center"/>
    </xf>
    <xf numFmtId="49" fontId="0" fillId="86" borderId="1" xfId="0" applyNumberFormat="1" applyFill="1" applyBorder="1" applyAlignment="1">
      <alignment horizontal="left" vertical="center"/>
    </xf>
    <xf numFmtId="165" fontId="0" fillId="86" borderId="1" xfId="2" applyNumberFormat="1" applyFont="1" applyFill="1" applyBorder="1" applyAlignment="1">
      <alignment horizontal="center" vertical="center"/>
    </xf>
    <xf numFmtId="0" fontId="0" fillId="86" borderId="1" xfId="0" applyFill="1" applyBorder="1" applyAlignment="1">
      <alignment horizontal="left" vertical="center"/>
    </xf>
    <xf numFmtId="1" fontId="0" fillId="86" borderId="1" xfId="0" applyNumberFormat="1" applyFill="1" applyBorder="1" applyAlignment="1">
      <alignment horizontal="center" vertical="center"/>
    </xf>
    <xf numFmtId="1" fontId="1" fillId="86" borderId="1" xfId="0" applyNumberFormat="1" applyFont="1" applyFill="1" applyBorder="1" applyAlignment="1">
      <alignment horizontal="left" vertical="center" wrapText="1"/>
    </xf>
    <xf numFmtId="14" fontId="0" fillId="86" borderId="1" xfId="0" applyNumberFormat="1" applyFill="1" applyBorder="1" applyAlignment="1">
      <alignment horizontal="center" vertical="center"/>
    </xf>
    <xf numFmtId="168" fontId="0" fillId="86" borderId="1" xfId="0" applyNumberFormat="1" applyFill="1" applyBorder="1" applyAlignment="1">
      <alignment horizontal="center" vertical="center"/>
    </xf>
    <xf numFmtId="0" fontId="10" fillId="26" borderId="1" xfId="0" applyNumberFormat="1" applyFont="1" applyFill="1" applyBorder="1" applyAlignment="1">
      <alignment horizontal="center"/>
    </xf>
    <xf numFmtId="0" fontId="10" fillId="26" borderId="3" xfId="0" applyNumberFormat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10" fillId="37" borderId="1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/>
    </xf>
    <xf numFmtId="0" fontId="10" fillId="37" borderId="3" xfId="0" applyNumberFormat="1" applyFont="1" applyFill="1" applyBorder="1" applyAlignment="1">
      <alignment horizontal="center"/>
    </xf>
    <xf numFmtId="14" fontId="10" fillId="88" borderId="1" xfId="0" applyNumberFormat="1" applyFont="1" applyFill="1" applyBorder="1" applyAlignment="1">
      <alignment horizontal="center"/>
    </xf>
    <xf numFmtId="14" fontId="10" fillId="88" borderId="3" xfId="0" applyNumberFormat="1" applyFont="1" applyFill="1" applyBorder="1" applyAlignment="1">
      <alignment horizontal="center"/>
    </xf>
    <xf numFmtId="0" fontId="10" fillId="89" borderId="1" xfId="0" applyNumberFormat="1" applyFont="1" applyFill="1" applyBorder="1" applyAlignment="1">
      <alignment horizontal="center"/>
    </xf>
    <xf numFmtId="0" fontId="10" fillId="89" borderId="3" xfId="0" applyNumberFormat="1" applyFont="1" applyFill="1" applyBorder="1" applyAlignment="1">
      <alignment horizontal="center"/>
    </xf>
    <xf numFmtId="14" fontId="22" fillId="90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22" fillId="90" borderId="3" xfId="0" applyNumberFormat="1" applyFont="1" applyFill="1" applyBorder="1" applyAlignment="1">
      <alignment horizontal="center"/>
    </xf>
    <xf numFmtId="14" fontId="10" fillId="91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left" vertical="center" wrapText="1"/>
    </xf>
    <xf numFmtId="168" fontId="0" fillId="0" borderId="1" xfId="0" applyNumberFormat="1" applyFill="1" applyBorder="1" applyAlignment="1">
      <alignment horizontal="center" vertical="center"/>
    </xf>
    <xf numFmtId="14" fontId="10" fillId="91" borderId="3" xfId="0" applyNumberFormat="1" applyFont="1" applyFill="1" applyBorder="1" applyAlignment="1">
      <alignment horizontal="center"/>
    </xf>
    <xf numFmtId="14" fontId="23" fillId="92" borderId="1" xfId="0" applyNumberFormat="1" applyFont="1" applyFill="1" applyBorder="1" applyAlignment="1">
      <alignment horizontal="center"/>
    </xf>
    <xf numFmtId="14" fontId="23" fillId="92" borderId="3" xfId="0" applyNumberFormat="1" applyFont="1" applyFill="1" applyBorder="1" applyAlignment="1">
      <alignment horizontal="center"/>
    </xf>
    <xf numFmtId="14" fontId="15" fillId="93" borderId="1" xfId="0" applyNumberFormat="1" applyFont="1" applyFill="1" applyBorder="1" applyAlignment="1">
      <alignment horizontal="center"/>
    </xf>
    <xf numFmtId="14" fontId="15" fillId="93" borderId="3" xfId="0" applyNumberFormat="1" applyFont="1" applyFill="1" applyBorder="1" applyAlignment="1">
      <alignment horizontal="center"/>
    </xf>
    <xf numFmtId="14" fontId="10" fillId="61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14" fontId="10" fillId="61" borderId="3" xfId="0" applyNumberFormat="1" applyFont="1" applyFill="1" applyBorder="1" applyAlignment="1">
      <alignment horizontal="center"/>
    </xf>
    <xf numFmtId="14" fontId="10" fillId="94" borderId="1" xfId="0" applyNumberFormat="1" applyFont="1" applyFill="1" applyBorder="1" applyAlignment="1">
      <alignment horizontal="center"/>
    </xf>
    <xf numFmtId="14" fontId="10" fillId="94" borderId="3" xfId="0" applyNumberFormat="1" applyFont="1" applyFill="1" applyBorder="1" applyAlignment="1">
      <alignment horizontal="center"/>
    </xf>
    <xf numFmtId="165" fontId="0" fillId="95" borderId="2" xfId="1" applyNumberFormat="1" applyFont="1" applyFill="1" applyBorder="1" applyAlignment="1">
      <alignment horizontal="center"/>
    </xf>
    <xf numFmtId="165" fontId="7" fillId="7" borderId="1" xfId="1" applyNumberFormat="1" applyFont="1" applyFill="1" applyBorder="1" applyAlignment="1">
      <alignment horizontal="center"/>
    </xf>
    <xf numFmtId="0" fontId="0" fillId="7" borderId="1" xfId="0" applyFont="1" applyFill="1" applyBorder="1"/>
    <xf numFmtId="165" fontId="1" fillId="0" borderId="0" xfId="1" applyNumberFormat="1" applyFont="1" applyFill="1" applyBorder="1" applyAlignment="1">
      <alignment horizontal="center"/>
    </xf>
    <xf numFmtId="165" fontId="7" fillId="96" borderId="1" xfId="1" applyNumberFormat="1" applyFont="1" applyFill="1" applyBorder="1" applyAlignment="1">
      <alignment horizontal="center"/>
    </xf>
    <xf numFmtId="165" fontId="7" fillId="96" borderId="3" xfId="1" applyNumberFormat="1" applyFont="1" applyFill="1" applyBorder="1" applyAlignment="1">
      <alignment horizontal="center"/>
    </xf>
    <xf numFmtId="165" fontId="0" fillId="20" borderId="2" xfId="1" applyNumberFormat="1" applyFont="1" applyFill="1" applyBorder="1" applyAlignment="1">
      <alignment horizontal="center" vertical="center"/>
    </xf>
    <xf numFmtId="14" fontId="10" fillId="97" borderId="1" xfId="0" applyNumberFormat="1" applyFont="1" applyFill="1" applyBorder="1" applyAlignment="1">
      <alignment horizontal="center"/>
    </xf>
    <xf numFmtId="14" fontId="10" fillId="97" borderId="3" xfId="0" applyNumberFormat="1" applyFont="1" applyFill="1" applyBorder="1" applyAlignment="1">
      <alignment horizontal="center"/>
    </xf>
    <xf numFmtId="14" fontId="10" fillId="98" borderId="1" xfId="0" applyNumberFormat="1" applyFont="1" applyFill="1" applyBorder="1" applyAlignment="1">
      <alignment horizontal="center"/>
    </xf>
    <xf numFmtId="14" fontId="10" fillId="98" borderId="3" xfId="0" applyNumberFormat="1" applyFont="1" applyFill="1" applyBorder="1" applyAlignment="1">
      <alignment horizontal="center"/>
    </xf>
    <xf numFmtId="168" fontId="0" fillId="0" borderId="9" xfId="0" applyNumberFormat="1" applyFill="1" applyBorder="1" applyAlignment="1">
      <alignment horizontal="center" vertical="center"/>
    </xf>
    <xf numFmtId="14" fontId="10" fillId="99" borderId="1" xfId="0" applyNumberFormat="1" applyFont="1" applyFill="1" applyBorder="1" applyAlignment="1">
      <alignment horizontal="center"/>
    </xf>
    <xf numFmtId="14" fontId="10" fillId="99" borderId="3" xfId="0" applyNumberFormat="1" applyFont="1" applyFill="1" applyBorder="1" applyAlignment="1">
      <alignment horizontal="center"/>
    </xf>
    <xf numFmtId="165" fontId="7" fillId="0" borderId="0" xfId="1" applyNumberFormat="1" applyFont="1" applyFill="1" applyBorder="1"/>
    <xf numFmtId="165" fontId="7" fillId="0" borderId="0" xfId="1" applyNumberFormat="1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vertical="center"/>
    </xf>
    <xf numFmtId="14" fontId="10" fillId="100" borderId="1" xfId="0" applyNumberFormat="1" applyFont="1" applyFill="1" applyBorder="1" applyAlignment="1">
      <alignment horizontal="center"/>
    </xf>
    <xf numFmtId="14" fontId="10" fillId="100" borderId="3" xfId="0" applyNumberFormat="1" applyFont="1" applyFill="1" applyBorder="1" applyAlignment="1">
      <alignment horizontal="center"/>
    </xf>
    <xf numFmtId="14" fontId="10" fillId="101" borderId="1" xfId="0" applyNumberFormat="1" applyFont="1" applyFill="1" applyBorder="1" applyAlignment="1">
      <alignment horizontal="center"/>
    </xf>
    <xf numFmtId="14" fontId="10" fillId="101" borderId="3" xfId="0" applyNumberFormat="1" applyFont="1" applyFill="1" applyBorder="1" applyAlignment="1">
      <alignment horizontal="center"/>
    </xf>
    <xf numFmtId="14" fontId="10" fillId="102" borderId="1" xfId="0" applyNumberFormat="1" applyFont="1" applyFill="1" applyBorder="1" applyAlignment="1">
      <alignment horizontal="center"/>
    </xf>
    <xf numFmtId="14" fontId="10" fillId="102" borderId="3" xfId="0" applyNumberFormat="1" applyFont="1" applyFill="1" applyBorder="1" applyAlignment="1">
      <alignment horizontal="center"/>
    </xf>
    <xf numFmtId="14" fontId="19" fillId="0" borderId="0" xfId="0" applyNumberFormat="1" applyFont="1" applyFill="1" applyBorder="1" applyAlignment="1">
      <alignment horizontal="center"/>
    </xf>
    <xf numFmtId="14" fontId="10" fillId="64" borderId="1" xfId="0" applyNumberFormat="1" applyFont="1" applyFill="1" applyBorder="1" applyAlignment="1">
      <alignment horizontal="center"/>
    </xf>
    <xf numFmtId="14" fontId="10" fillId="64" borderId="3" xfId="0" applyNumberFormat="1" applyFont="1" applyFill="1" applyBorder="1" applyAlignment="1">
      <alignment horizontal="center"/>
    </xf>
    <xf numFmtId="0" fontId="1" fillId="0" borderId="0" xfId="0" applyFont="1" applyBorder="1"/>
    <xf numFmtId="165" fontId="10" fillId="0" borderId="1" xfId="1" applyNumberFormat="1" applyFont="1" applyFill="1" applyBorder="1" applyAlignment="1">
      <alignment horizontal="center"/>
    </xf>
    <xf numFmtId="0" fontId="10" fillId="0" borderId="1" xfId="0" applyFont="1" applyFill="1" applyBorder="1"/>
    <xf numFmtId="0" fontId="10" fillId="0" borderId="1" xfId="0" applyNumberFormat="1" applyFont="1" applyFill="1" applyBorder="1" applyAlignment="1">
      <alignment horizontal="center"/>
    </xf>
    <xf numFmtId="14" fontId="10" fillId="95" borderId="1" xfId="0" applyNumberFormat="1" applyFont="1" applyFill="1" applyBorder="1" applyAlignment="1">
      <alignment horizontal="center"/>
    </xf>
    <xf numFmtId="165" fontId="0" fillId="103" borderId="2" xfId="1" applyNumberFormat="1" applyFont="1" applyFill="1" applyBorder="1" applyAlignment="1">
      <alignment horizontal="center" vertical="center"/>
    </xf>
    <xf numFmtId="14" fontId="10" fillId="95" borderId="3" xfId="0" applyNumberFormat="1" applyFont="1" applyFill="1" applyBorder="1" applyAlignment="1">
      <alignment horizontal="center"/>
    </xf>
    <xf numFmtId="14" fontId="10" fillId="104" borderId="1" xfId="0" applyNumberFormat="1" applyFont="1" applyFill="1" applyBorder="1" applyAlignment="1">
      <alignment horizontal="center"/>
    </xf>
    <xf numFmtId="14" fontId="10" fillId="104" borderId="3" xfId="0" applyNumberFormat="1" applyFont="1" applyFill="1" applyBorder="1" applyAlignment="1">
      <alignment horizontal="center"/>
    </xf>
    <xf numFmtId="0" fontId="10" fillId="105" borderId="1" xfId="0" applyNumberFormat="1" applyFont="1" applyFill="1" applyBorder="1" applyAlignment="1">
      <alignment horizontal="center"/>
    </xf>
    <xf numFmtId="0" fontId="10" fillId="105" borderId="3" xfId="0" applyNumberFormat="1" applyFont="1" applyFill="1" applyBorder="1" applyAlignment="1">
      <alignment horizontal="center"/>
    </xf>
    <xf numFmtId="49" fontId="0" fillId="106" borderId="1" xfId="0" applyNumberFormat="1" applyFill="1" applyBorder="1" applyAlignment="1">
      <alignment horizontal="left" vertical="center"/>
    </xf>
    <xf numFmtId="0" fontId="0" fillId="0" borderId="0" xfId="0" quotePrefix="1" applyAlignment="1">
      <alignment horizontal="center"/>
    </xf>
    <xf numFmtId="14" fontId="10" fillId="108" borderId="1" xfId="0" applyNumberFormat="1" applyFont="1" applyFill="1" applyBorder="1" applyAlignment="1">
      <alignment horizontal="center"/>
    </xf>
    <xf numFmtId="14" fontId="10" fillId="108" borderId="3" xfId="0" applyNumberFormat="1" applyFont="1" applyFill="1" applyBorder="1" applyAlignment="1">
      <alignment horizontal="center"/>
    </xf>
    <xf numFmtId="14" fontId="10" fillId="109" borderId="1" xfId="0" applyNumberFormat="1" applyFont="1" applyFill="1" applyBorder="1" applyAlignment="1">
      <alignment horizontal="center"/>
    </xf>
    <xf numFmtId="14" fontId="10" fillId="109" borderId="3" xfId="0" applyNumberFormat="1" applyFont="1" applyFill="1" applyBorder="1" applyAlignment="1">
      <alignment horizontal="center"/>
    </xf>
    <xf numFmtId="0" fontId="10" fillId="110" borderId="1" xfId="0" applyNumberFormat="1" applyFont="1" applyFill="1" applyBorder="1" applyAlignment="1">
      <alignment horizontal="center"/>
    </xf>
    <xf numFmtId="165" fontId="0" fillId="103" borderId="1" xfId="1" applyNumberFormat="1" applyFont="1" applyFill="1" applyBorder="1" applyAlignment="1">
      <alignment horizontal="center" vertical="center"/>
    </xf>
    <xf numFmtId="0" fontId="10" fillId="110" borderId="3" xfId="0" applyNumberFormat="1" applyFont="1" applyFill="1" applyBorder="1" applyAlignment="1">
      <alignment horizontal="center"/>
    </xf>
    <xf numFmtId="14" fontId="10" fillId="111" borderId="1" xfId="0" applyNumberFormat="1" applyFont="1" applyFill="1" applyBorder="1" applyAlignment="1">
      <alignment horizontal="center"/>
    </xf>
    <xf numFmtId="14" fontId="10" fillId="111" borderId="3" xfId="0" applyNumberFormat="1" applyFont="1" applyFill="1" applyBorder="1" applyAlignment="1">
      <alignment horizontal="center"/>
    </xf>
    <xf numFmtId="14" fontId="10" fillId="113" borderId="1" xfId="0" applyNumberFormat="1" applyFont="1" applyFill="1" applyBorder="1" applyAlignment="1">
      <alignment horizontal="center"/>
    </xf>
    <xf numFmtId="14" fontId="10" fillId="113" borderId="3" xfId="0" applyNumberFormat="1" applyFont="1" applyFill="1" applyBorder="1" applyAlignment="1">
      <alignment horizontal="center"/>
    </xf>
    <xf numFmtId="14" fontId="10" fillId="114" borderId="1" xfId="0" applyNumberFormat="1" applyFont="1" applyFill="1" applyBorder="1" applyAlignment="1">
      <alignment horizontal="center"/>
    </xf>
    <xf numFmtId="0" fontId="0" fillId="0" borderId="0" xfId="0" applyFont="1" applyFill="1"/>
    <xf numFmtId="14" fontId="10" fillId="114" borderId="3" xfId="0" applyNumberFormat="1" applyFont="1" applyFill="1" applyBorder="1" applyAlignment="1">
      <alignment horizontal="center"/>
    </xf>
    <xf numFmtId="14" fontId="10" fillId="115" borderId="1" xfId="0" applyNumberFormat="1" applyFont="1" applyFill="1" applyBorder="1" applyAlignment="1">
      <alignment horizontal="center"/>
    </xf>
    <xf numFmtId="14" fontId="10" fillId="115" borderId="3" xfId="0" applyNumberFormat="1" applyFont="1" applyFill="1" applyBorder="1" applyAlignment="1">
      <alignment horizontal="center"/>
    </xf>
    <xf numFmtId="14" fontId="10" fillId="116" borderId="1" xfId="0" applyNumberFormat="1" applyFont="1" applyFill="1" applyBorder="1" applyAlignment="1">
      <alignment horizontal="center"/>
    </xf>
    <xf numFmtId="14" fontId="10" fillId="116" borderId="3" xfId="0" applyNumberFormat="1" applyFont="1" applyFill="1" applyBorder="1" applyAlignment="1">
      <alignment horizontal="center"/>
    </xf>
    <xf numFmtId="14" fontId="19" fillId="68" borderId="1" xfId="0" applyNumberFormat="1" applyFont="1" applyFill="1" applyBorder="1" applyAlignment="1">
      <alignment horizontal="center"/>
    </xf>
    <xf numFmtId="14" fontId="19" fillId="68" borderId="3" xfId="0" applyNumberFormat="1" applyFont="1" applyFill="1" applyBorder="1" applyAlignment="1">
      <alignment horizontal="center"/>
    </xf>
    <xf numFmtId="14" fontId="10" fillId="118" borderId="1" xfId="0" applyNumberFormat="1" applyFont="1" applyFill="1" applyBorder="1" applyAlignment="1">
      <alignment horizontal="center"/>
    </xf>
    <xf numFmtId="14" fontId="10" fillId="118" borderId="3" xfId="0" applyNumberFormat="1" applyFont="1" applyFill="1" applyBorder="1" applyAlignment="1">
      <alignment horizontal="center"/>
    </xf>
    <xf numFmtId="14" fontId="10" fillId="119" borderId="3" xfId="0" applyNumberFormat="1" applyFont="1" applyFill="1" applyBorder="1" applyAlignment="1">
      <alignment horizontal="center"/>
    </xf>
    <xf numFmtId="14" fontId="23" fillId="0" borderId="3" xfId="0" applyNumberFormat="1" applyFont="1" applyFill="1" applyBorder="1" applyAlignment="1">
      <alignment horizontal="center"/>
    </xf>
    <xf numFmtId="0" fontId="0" fillId="0" borderId="9" xfId="0" applyNumberFormat="1" applyFont="1" applyFill="1" applyBorder="1" applyAlignment="1">
      <alignment horizontal="center"/>
    </xf>
    <xf numFmtId="14" fontId="10" fillId="119" borderId="9" xfId="0" applyNumberFormat="1" applyFont="1" applyFill="1" applyBorder="1" applyAlignment="1">
      <alignment horizontal="center"/>
    </xf>
    <xf numFmtId="165" fontId="7" fillId="0" borderId="9" xfId="1" applyNumberFormat="1" applyFont="1" applyFill="1" applyBorder="1" applyAlignment="1"/>
    <xf numFmtId="0" fontId="0" fillId="0" borderId="9" xfId="0" applyFont="1" applyFill="1" applyBorder="1" applyAlignment="1"/>
    <xf numFmtId="14" fontId="10" fillId="120" borderId="1" xfId="0" applyNumberFormat="1" applyFont="1" applyFill="1" applyBorder="1" applyAlignment="1">
      <alignment horizontal="center"/>
    </xf>
    <xf numFmtId="14" fontId="10" fillId="120" borderId="3" xfId="0" applyNumberFormat="1" applyFont="1" applyFill="1" applyBorder="1" applyAlignment="1">
      <alignment horizontal="center"/>
    </xf>
    <xf numFmtId="14" fontId="10" fillId="121" borderId="1" xfId="0" applyNumberFormat="1" applyFont="1" applyFill="1" applyBorder="1" applyAlignment="1">
      <alignment horizontal="center"/>
    </xf>
    <xf numFmtId="14" fontId="10" fillId="121" borderId="3" xfId="0" applyNumberFormat="1" applyFont="1" applyFill="1" applyBorder="1" applyAlignment="1">
      <alignment horizontal="center"/>
    </xf>
    <xf numFmtId="14" fontId="10" fillId="122" borderId="1" xfId="0" applyNumberFormat="1" applyFont="1" applyFill="1" applyBorder="1" applyAlignment="1">
      <alignment horizontal="center"/>
    </xf>
    <xf numFmtId="14" fontId="10" fillId="122" borderId="3" xfId="0" applyNumberFormat="1" applyFont="1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4" fontId="10" fillId="79" borderId="1" xfId="0" applyNumberFormat="1" applyFont="1" applyFill="1" applyBorder="1" applyAlignment="1">
      <alignment horizontal="center"/>
    </xf>
    <xf numFmtId="14" fontId="10" fillId="79" borderId="3" xfId="0" applyNumberFormat="1" applyFont="1" applyFill="1" applyBorder="1" applyAlignment="1">
      <alignment horizontal="center"/>
    </xf>
    <xf numFmtId="14" fontId="10" fillId="68" borderId="1" xfId="0" applyNumberFormat="1" applyFont="1" applyFill="1" applyBorder="1" applyAlignment="1">
      <alignment horizontal="center"/>
    </xf>
    <xf numFmtId="14" fontId="10" fillId="68" borderId="3" xfId="0" applyNumberFormat="1" applyFont="1" applyFill="1" applyBorder="1" applyAlignment="1">
      <alignment horizontal="center"/>
    </xf>
    <xf numFmtId="14" fontId="10" fillId="124" borderId="1" xfId="0" applyNumberFormat="1" applyFont="1" applyFill="1" applyBorder="1" applyAlignment="1">
      <alignment horizontal="center"/>
    </xf>
    <xf numFmtId="14" fontId="10" fillId="123" borderId="1" xfId="0" applyNumberFormat="1" applyFont="1" applyFill="1" applyBorder="1" applyAlignment="1">
      <alignment horizontal="center"/>
    </xf>
    <xf numFmtId="14" fontId="10" fillId="123" borderId="3" xfId="0" applyNumberFormat="1" applyFont="1" applyFill="1" applyBorder="1" applyAlignment="1">
      <alignment horizontal="center"/>
    </xf>
    <xf numFmtId="165" fontId="10" fillId="0" borderId="1" xfId="1" applyNumberFormat="1" applyFont="1" applyBorder="1"/>
    <xf numFmtId="0" fontId="10" fillId="0" borderId="1" xfId="0" applyFont="1" applyBorder="1"/>
    <xf numFmtId="14" fontId="10" fillId="126" borderId="1" xfId="0" applyNumberFormat="1" applyFont="1" applyFill="1" applyBorder="1" applyAlignment="1">
      <alignment horizontal="center"/>
    </xf>
    <xf numFmtId="14" fontId="10" fillId="126" borderId="3" xfId="0" applyNumberFormat="1" applyFont="1" applyFill="1" applyBorder="1" applyAlignment="1">
      <alignment horizontal="center"/>
    </xf>
    <xf numFmtId="14" fontId="10" fillId="128" borderId="1" xfId="0" applyNumberFormat="1" applyFont="1" applyFill="1" applyBorder="1" applyAlignment="1">
      <alignment horizontal="center"/>
    </xf>
    <xf numFmtId="14" fontId="10" fillId="128" borderId="3" xfId="0" applyNumberFormat="1" applyFont="1" applyFill="1" applyBorder="1" applyAlignment="1">
      <alignment horizontal="center"/>
    </xf>
    <xf numFmtId="14" fontId="10" fillId="129" borderId="1" xfId="0" applyNumberFormat="1" applyFont="1" applyFill="1" applyBorder="1" applyAlignment="1">
      <alignment horizontal="center"/>
    </xf>
    <xf numFmtId="14" fontId="10" fillId="129" borderId="3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5" fontId="0" fillId="0" borderId="2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 wrapText="1"/>
    </xf>
    <xf numFmtId="14" fontId="0" fillId="0" borderId="7" xfId="0" applyNumberFormat="1" applyBorder="1" applyAlignment="1">
      <alignment horizontal="center" vertical="center"/>
    </xf>
    <xf numFmtId="165" fontId="10" fillId="0" borderId="1" xfId="0" applyNumberFormat="1" applyFont="1" applyFill="1" applyBorder="1" applyAlignment="1">
      <alignment horizontal="center"/>
    </xf>
    <xf numFmtId="14" fontId="10" fillId="130" borderId="1" xfId="0" applyNumberFormat="1" applyFont="1" applyFill="1" applyBorder="1" applyAlignment="1">
      <alignment horizontal="center"/>
    </xf>
    <xf numFmtId="14" fontId="10" fillId="130" borderId="3" xfId="0" applyNumberFormat="1" applyFont="1" applyFill="1" applyBorder="1" applyAlignment="1">
      <alignment horizontal="center"/>
    </xf>
    <xf numFmtId="14" fontId="10" fillId="131" borderId="1" xfId="0" applyNumberFormat="1" applyFont="1" applyFill="1" applyBorder="1" applyAlignment="1">
      <alignment horizontal="center"/>
    </xf>
    <xf numFmtId="14" fontId="10" fillId="131" borderId="3" xfId="0" applyNumberFormat="1" applyFont="1" applyFill="1" applyBorder="1" applyAlignment="1">
      <alignment horizontal="center"/>
    </xf>
    <xf numFmtId="14" fontId="10" fillId="132" borderId="1" xfId="0" applyNumberFormat="1" applyFont="1" applyFill="1" applyBorder="1" applyAlignment="1">
      <alignment horizontal="center"/>
    </xf>
    <xf numFmtId="14" fontId="10" fillId="132" borderId="3" xfId="0" applyNumberFormat="1" applyFont="1" applyFill="1" applyBorder="1" applyAlignment="1">
      <alignment horizontal="center"/>
    </xf>
    <xf numFmtId="14" fontId="10" fillId="133" borderId="1" xfId="0" applyNumberFormat="1" applyFont="1" applyFill="1" applyBorder="1" applyAlignment="1">
      <alignment horizontal="center"/>
    </xf>
    <xf numFmtId="14" fontId="10" fillId="15" borderId="1" xfId="0" applyNumberFormat="1" applyFont="1" applyFill="1" applyBorder="1" applyAlignment="1">
      <alignment horizontal="center"/>
    </xf>
    <xf numFmtId="14" fontId="10" fillId="15" borderId="3" xfId="0" applyNumberFormat="1" applyFont="1" applyFill="1" applyBorder="1" applyAlignment="1">
      <alignment horizontal="center"/>
    </xf>
    <xf numFmtId="14" fontId="10" fillId="134" borderId="1" xfId="0" applyNumberFormat="1" applyFont="1" applyFill="1" applyBorder="1" applyAlignment="1">
      <alignment horizontal="center"/>
    </xf>
    <xf numFmtId="14" fontId="10" fillId="135" borderId="1" xfId="0" applyNumberFormat="1" applyFont="1" applyFill="1" applyBorder="1" applyAlignment="1">
      <alignment horizontal="center"/>
    </xf>
    <xf numFmtId="14" fontId="10" fillId="135" borderId="3" xfId="0" applyNumberFormat="1" applyFont="1" applyFill="1" applyBorder="1" applyAlignment="1">
      <alignment horizontal="center"/>
    </xf>
    <xf numFmtId="14" fontId="10" fillId="134" borderId="3" xfId="0" applyNumberFormat="1" applyFont="1" applyFill="1" applyBorder="1" applyAlignment="1">
      <alignment horizontal="center"/>
    </xf>
    <xf numFmtId="14" fontId="10" fillId="136" borderId="1" xfId="0" applyNumberFormat="1" applyFont="1" applyFill="1" applyBorder="1" applyAlignment="1">
      <alignment horizontal="center"/>
    </xf>
    <xf numFmtId="14" fontId="10" fillId="136" borderId="3" xfId="0" applyNumberFormat="1" applyFont="1" applyFill="1" applyBorder="1" applyAlignment="1">
      <alignment horizontal="center"/>
    </xf>
    <xf numFmtId="14" fontId="10" fillId="110" borderId="1" xfId="0" applyNumberFormat="1" applyFont="1" applyFill="1" applyBorder="1" applyAlignment="1">
      <alignment horizontal="center"/>
    </xf>
    <xf numFmtId="14" fontId="10" fillId="110" borderId="3" xfId="0" applyNumberFormat="1" applyFont="1" applyFill="1" applyBorder="1" applyAlignment="1">
      <alignment horizontal="center"/>
    </xf>
    <xf numFmtId="14" fontId="10" fillId="138" borderId="1" xfId="0" applyNumberFormat="1" applyFont="1" applyFill="1" applyBorder="1" applyAlignment="1">
      <alignment horizontal="center"/>
    </xf>
    <xf numFmtId="14" fontId="10" fillId="138" borderId="3" xfId="0" applyNumberFormat="1" applyFont="1" applyFill="1" applyBorder="1" applyAlignment="1">
      <alignment horizontal="center"/>
    </xf>
    <xf numFmtId="14" fontId="10" fillId="139" borderId="1" xfId="0" applyNumberFormat="1" applyFont="1" applyFill="1" applyBorder="1" applyAlignment="1">
      <alignment horizontal="center"/>
    </xf>
    <xf numFmtId="14" fontId="10" fillId="139" borderId="3" xfId="0" applyNumberFormat="1" applyFont="1" applyFill="1" applyBorder="1" applyAlignment="1">
      <alignment horizontal="center"/>
    </xf>
    <xf numFmtId="14" fontId="10" fillId="140" borderId="1" xfId="0" applyNumberFormat="1" applyFont="1" applyFill="1" applyBorder="1" applyAlignment="1">
      <alignment horizontal="center"/>
    </xf>
    <xf numFmtId="14" fontId="10" fillId="140" borderId="3" xfId="0" applyNumberFormat="1" applyFont="1" applyFill="1" applyBorder="1" applyAlignment="1">
      <alignment horizontal="center"/>
    </xf>
    <xf numFmtId="166" fontId="0" fillId="0" borderId="1" xfId="1" applyNumberFormat="1" applyFont="1" applyFill="1" applyBorder="1"/>
    <xf numFmtId="165" fontId="0" fillId="141" borderId="2" xfId="1" applyNumberFormat="1" applyFont="1" applyFill="1" applyBorder="1" applyAlignment="1">
      <alignment horizontal="center" vertical="center"/>
    </xf>
    <xf numFmtId="165" fontId="0" fillId="141" borderId="1" xfId="1" applyNumberFormat="1" applyFont="1" applyFill="1" applyBorder="1" applyAlignment="1">
      <alignment horizontal="center"/>
    </xf>
    <xf numFmtId="0" fontId="10" fillId="143" borderId="1" xfId="0" applyNumberFormat="1" applyFont="1" applyFill="1" applyBorder="1" applyAlignment="1">
      <alignment horizontal="center"/>
    </xf>
    <xf numFmtId="0" fontId="10" fillId="143" borderId="3" xfId="0" applyNumberFormat="1" applyFont="1" applyFill="1" applyBorder="1" applyAlignment="1">
      <alignment horizontal="center"/>
    </xf>
    <xf numFmtId="166" fontId="0" fillId="0" borderId="2" xfId="1" applyNumberFormat="1" applyFont="1" applyFill="1" applyBorder="1"/>
    <xf numFmtId="0" fontId="10" fillId="129" borderId="1" xfId="0" applyNumberFormat="1" applyFont="1" applyFill="1" applyBorder="1" applyAlignment="1">
      <alignment horizontal="center"/>
    </xf>
    <xf numFmtId="0" fontId="10" fillId="129" borderId="3" xfId="0" applyNumberFormat="1" applyFont="1" applyFill="1" applyBorder="1" applyAlignment="1">
      <alignment horizontal="center"/>
    </xf>
    <xf numFmtId="49" fontId="0" fillId="0" borderId="6" xfId="0" applyNumberFormat="1" applyFill="1" applyBorder="1" applyAlignment="1">
      <alignment horizontal="left"/>
    </xf>
    <xf numFmtId="166" fontId="0" fillId="0" borderId="0" xfId="1" applyNumberFormat="1" applyFont="1" applyFill="1" applyBorder="1"/>
    <xf numFmtId="49" fontId="0" fillId="0" borderId="7" xfId="0" applyNumberFormat="1" applyFill="1" applyBorder="1" applyAlignment="1">
      <alignment horizontal="left"/>
    </xf>
    <xf numFmtId="14" fontId="10" fillId="144" borderId="1" xfId="0" applyNumberFormat="1" applyFont="1" applyFill="1" applyBorder="1" applyAlignment="1">
      <alignment horizontal="center"/>
    </xf>
    <xf numFmtId="14" fontId="10" fillId="144" borderId="3" xfId="0" applyNumberFormat="1" applyFont="1" applyFill="1" applyBorder="1" applyAlignment="1">
      <alignment horizontal="center"/>
    </xf>
    <xf numFmtId="0" fontId="10" fillId="0" borderId="1" xfId="1" applyNumberFormat="1" applyFont="1" applyFill="1" applyBorder="1"/>
    <xf numFmtId="0" fontId="10" fillId="0" borderId="1" xfId="0" applyNumberFormat="1" applyFont="1" applyFill="1" applyBorder="1"/>
    <xf numFmtId="0" fontId="10" fillId="145" borderId="1" xfId="0" applyNumberFormat="1" applyFont="1" applyFill="1" applyBorder="1" applyAlignment="1">
      <alignment horizontal="center"/>
    </xf>
    <xf numFmtId="0" fontId="10" fillId="145" borderId="3" xfId="0" applyNumberFormat="1" applyFont="1" applyFill="1" applyBorder="1" applyAlignment="1">
      <alignment horizontal="center"/>
    </xf>
    <xf numFmtId="0" fontId="10" fillId="146" borderId="1" xfId="0" applyNumberFormat="1" applyFont="1" applyFill="1" applyBorder="1" applyAlignment="1">
      <alignment horizontal="center"/>
    </xf>
    <xf numFmtId="0" fontId="10" fillId="146" borderId="3" xfId="0" applyNumberFormat="1" applyFont="1" applyFill="1" applyBorder="1" applyAlignment="1">
      <alignment horizontal="center"/>
    </xf>
    <xf numFmtId="0" fontId="10" fillId="148" borderId="1" xfId="0" applyNumberFormat="1" applyFont="1" applyFill="1" applyBorder="1" applyAlignment="1">
      <alignment horizontal="center"/>
    </xf>
    <xf numFmtId="0" fontId="10" fillId="148" borderId="3" xfId="0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 vertical="center"/>
    </xf>
    <xf numFmtId="0" fontId="10" fillId="149" borderId="1" xfId="0" applyNumberFormat="1" applyFont="1" applyFill="1" applyBorder="1" applyAlignment="1">
      <alignment horizontal="center"/>
    </xf>
    <xf numFmtId="14" fontId="0" fillId="0" borderId="2" xfId="0" applyNumberFormat="1" applyFill="1" applyBorder="1" applyAlignment="1">
      <alignment horizontal="center" vertical="center"/>
    </xf>
    <xf numFmtId="0" fontId="10" fillId="149" borderId="3" xfId="0" applyNumberFormat="1" applyFont="1" applyFill="1" applyBorder="1" applyAlignment="1">
      <alignment horizontal="center"/>
    </xf>
    <xf numFmtId="14" fontId="10" fillId="127" borderId="1" xfId="0" applyNumberFormat="1" applyFont="1" applyFill="1" applyBorder="1" applyAlignment="1">
      <alignment horizontal="center"/>
    </xf>
    <xf numFmtId="14" fontId="10" fillId="127" borderId="3" xfId="0" applyNumberFormat="1" applyFont="1" applyFill="1" applyBorder="1" applyAlignment="1">
      <alignment horizontal="center"/>
    </xf>
    <xf numFmtId="0" fontId="10" fillId="150" borderId="1" xfId="0" applyNumberFormat="1" applyFont="1" applyFill="1" applyBorder="1" applyAlignment="1">
      <alignment horizontal="center"/>
    </xf>
    <xf numFmtId="0" fontId="10" fillId="150" borderId="3" xfId="0" applyNumberFormat="1" applyFont="1" applyFill="1" applyBorder="1" applyAlignment="1">
      <alignment horizontal="center"/>
    </xf>
    <xf numFmtId="14" fontId="0" fillId="20" borderId="2" xfId="0" applyNumberFormat="1" applyFill="1" applyBorder="1" applyAlignment="1">
      <alignment horizontal="center"/>
    </xf>
    <xf numFmtId="165" fontId="0" fillId="22" borderId="2" xfId="1" applyNumberFormat="1" applyFont="1" applyFill="1" applyBorder="1" applyAlignment="1">
      <alignment horizontal="center" vertical="center"/>
    </xf>
    <xf numFmtId="0" fontId="10" fillId="151" borderId="1" xfId="0" applyNumberFormat="1" applyFont="1" applyFill="1" applyBorder="1" applyAlignment="1">
      <alignment horizontal="center"/>
    </xf>
    <xf numFmtId="0" fontId="10" fillId="151" borderId="3" xfId="0" applyNumberFormat="1" applyFont="1" applyFill="1" applyBorder="1" applyAlignment="1">
      <alignment horizontal="center"/>
    </xf>
    <xf numFmtId="0" fontId="10" fillId="152" borderId="1" xfId="0" applyNumberFormat="1" applyFont="1" applyFill="1" applyBorder="1" applyAlignment="1">
      <alignment horizontal="center"/>
    </xf>
    <xf numFmtId="0" fontId="10" fillId="152" borderId="3" xfId="0" applyNumberFormat="1" applyFont="1" applyFill="1" applyBorder="1" applyAlignment="1">
      <alignment horizontal="center"/>
    </xf>
    <xf numFmtId="0" fontId="10" fillId="153" borderId="1" xfId="0" applyNumberFormat="1" applyFont="1" applyFill="1" applyBorder="1" applyAlignment="1">
      <alignment horizontal="center"/>
    </xf>
    <xf numFmtId="0" fontId="10" fillId="153" borderId="3" xfId="0" applyNumberFormat="1" applyFont="1" applyFill="1" applyBorder="1" applyAlignment="1">
      <alignment horizontal="center"/>
    </xf>
    <xf numFmtId="0" fontId="10" fillId="102" borderId="1" xfId="0" applyNumberFormat="1" applyFont="1" applyFill="1" applyBorder="1" applyAlignment="1">
      <alignment horizontal="center"/>
    </xf>
    <xf numFmtId="0" fontId="10" fillId="102" borderId="3" xfId="0" applyNumberFormat="1" applyFont="1" applyFill="1" applyBorder="1" applyAlignment="1">
      <alignment horizontal="center"/>
    </xf>
    <xf numFmtId="0" fontId="10" fillId="101" borderId="1" xfId="0" applyNumberFormat="1" applyFont="1" applyFill="1" applyBorder="1" applyAlignment="1">
      <alignment horizontal="center"/>
    </xf>
    <xf numFmtId="0" fontId="10" fillId="101" borderId="3" xfId="0" applyNumberFormat="1" applyFont="1" applyFill="1" applyBorder="1" applyAlignment="1">
      <alignment horizontal="center"/>
    </xf>
    <xf numFmtId="14" fontId="10" fillId="155" borderId="1" xfId="0" applyNumberFormat="1" applyFont="1" applyFill="1" applyBorder="1" applyAlignment="1">
      <alignment horizontal="center"/>
    </xf>
    <xf numFmtId="165" fontId="0" fillId="5" borderId="2" xfId="1" applyNumberFormat="1" applyFont="1" applyFill="1" applyBorder="1" applyAlignment="1">
      <alignment horizontal="center"/>
    </xf>
    <xf numFmtId="14" fontId="10" fillId="155" borderId="3" xfId="0" applyNumberFormat="1" applyFont="1" applyFill="1" applyBorder="1" applyAlignment="1">
      <alignment horizontal="center"/>
    </xf>
    <xf numFmtId="0" fontId="10" fillId="156" borderId="1" xfId="0" applyNumberFormat="1" applyFont="1" applyFill="1" applyBorder="1" applyAlignment="1">
      <alignment horizontal="center"/>
    </xf>
    <xf numFmtId="1" fontId="0" fillId="0" borderId="3" xfId="0" applyNumberForma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left"/>
    </xf>
    <xf numFmtId="166" fontId="0" fillId="0" borderId="3" xfId="1" applyNumberFormat="1" applyFont="1" applyFill="1" applyBorder="1"/>
    <xf numFmtId="14" fontId="0" fillId="0" borderId="3" xfId="0" applyNumberFormat="1" applyFill="1" applyBorder="1" applyAlignment="1">
      <alignment horizontal="center"/>
    </xf>
    <xf numFmtId="165" fontId="0" fillId="0" borderId="3" xfId="1" applyNumberFormat="1" applyFont="1" applyFill="1" applyBorder="1" applyAlignment="1">
      <alignment horizontal="center"/>
    </xf>
    <xf numFmtId="0" fontId="10" fillId="156" borderId="3" xfId="0" applyNumberFormat="1" applyFont="1" applyFill="1" applyBorder="1" applyAlignment="1">
      <alignment horizontal="center"/>
    </xf>
    <xf numFmtId="0" fontId="10" fillId="158" borderId="1" xfId="0" applyNumberFormat="1" applyFont="1" applyFill="1" applyBorder="1" applyAlignment="1">
      <alignment horizontal="center"/>
    </xf>
    <xf numFmtId="14" fontId="10" fillId="0" borderId="0" xfId="0" applyNumberFormat="1" applyFont="1" applyFill="1" applyBorder="1" applyAlignment="1">
      <alignment horizontal="center"/>
    </xf>
    <xf numFmtId="0" fontId="10" fillId="159" borderId="1" xfId="0" applyNumberFormat="1" applyFont="1" applyFill="1" applyBorder="1" applyAlignment="1">
      <alignment horizontal="center"/>
    </xf>
    <xf numFmtId="0" fontId="10" fillId="159" borderId="3" xfId="0" applyNumberFormat="1" applyFont="1" applyFill="1" applyBorder="1" applyAlignment="1">
      <alignment horizontal="center"/>
    </xf>
    <xf numFmtId="14" fontId="10" fillId="148" borderId="1" xfId="0" applyNumberFormat="1" applyFont="1" applyFill="1" applyBorder="1" applyAlignment="1">
      <alignment horizontal="center"/>
    </xf>
    <xf numFmtId="14" fontId="10" fillId="148" borderId="3" xfId="0" applyNumberFormat="1" applyFont="1" applyFill="1" applyBorder="1" applyAlignment="1">
      <alignment horizontal="center"/>
    </xf>
    <xf numFmtId="166" fontId="1" fillId="0" borderId="2" xfId="1" applyNumberFormat="1" applyFont="1" applyFill="1" applyBorder="1"/>
    <xf numFmtId="14" fontId="10" fillId="154" borderId="1" xfId="0" applyNumberFormat="1" applyFont="1" applyFill="1" applyBorder="1" applyAlignment="1">
      <alignment horizontal="center"/>
    </xf>
    <xf numFmtId="14" fontId="10" fillId="154" borderId="3" xfId="0" applyNumberFormat="1" applyFont="1" applyFill="1" applyBorder="1" applyAlignment="1">
      <alignment horizontal="center"/>
    </xf>
    <xf numFmtId="0" fontId="19" fillId="0" borderId="1" xfId="0" applyNumberFormat="1" applyFont="1" applyFill="1" applyBorder="1" applyAlignment="1">
      <alignment horizontal="center"/>
    </xf>
    <xf numFmtId="14" fontId="10" fillId="138" borderId="1" xfId="0" applyNumberFormat="1" applyFont="1" applyFill="1" applyBorder="1" applyAlignment="1">
      <alignment horizontal="center" vertical="center"/>
    </xf>
    <xf numFmtId="14" fontId="10" fillId="138" borderId="3" xfId="0" applyNumberFormat="1" applyFont="1" applyFill="1" applyBorder="1" applyAlignment="1">
      <alignment horizontal="center" vertical="center"/>
    </xf>
    <xf numFmtId="0" fontId="10" fillId="161" borderId="1" xfId="0" applyNumberFormat="1" applyFont="1" applyFill="1" applyBorder="1" applyAlignment="1">
      <alignment horizontal="center" vertical="center"/>
    </xf>
    <xf numFmtId="0" fontId="10" fillId="161" borderId="3" xfId="0" applyNumberFormat="1" applyFont="1" applyFill="1" applyBorder="1" applyAlignment="1">
      <alignment horizontal="center" vertical="center"/>
    </xf>
    <xf numFmtId="0" fontId="10" fillId="162" borderId="1" xfId="0" applyNumberFormat="1" applyFont="1" applyFill="1" applyBorder="1" applyAlignment="1">
      <alignment horizontal="center"/>
    </xf>
    <xf numFmtId="0" fontId="10" fillId="162" borderId="3" xfId="0" applyNumberFormat="1" applyFont="1" applyFill="1" applyBorder="1" applyAlignment="1">
      <alignment horizontal="center"/>
    </xf>
    <xf numFmtId="0" fontId="10" fillId="163" borderId="1" xfId="0" applyNumberFormat="1" applyFont="1" applyFill="1" applyBorder="1" applyAlignment="1">
      <alignment horizontal="center"/>
    </xf>
    <xf numFmtId="0" fontId="10" fillId="163" borderId="3" xfId="0" applyNumberFormat="1" applyFont="1" applyFill="1" applyBorder="1" applyAlignment="1">
      <alignment horizontal="center"/>
    </xf>
    <xf numFmtId="0" fontId="10" fillId="164" borderId="1" xfId="0" applyNumberFormat="1" applyFont="1" applyFill="1" applyBorder="1" applyAlignment="1">
      <alignment horizontal="center"/>
    </xf>
    <xf numFmtId="0" fontId="10" fillId="164" borderId="3" xfId="0" applyNumberFormat="1" applyFont="1" applyFill="1" applyBorder="1" applyAlignment="1">
      <alignment horizontal="center"/>
    </xf>
    <xf numFmtId="0" fontId="10" fillId="165" borderId="1" xfId="0" applyNumberFormat="1" applyFont="1" applyFill="1" applyBorder="1" applyAlignment="1">
      <alignment horizontal="center"/>
    </xf>
    <xf numFmtId="0" fontId="10" fillId="165" borderId="3" xfId="0" applyNumberFormat="1" applyFont="1" applyFill="1" applyBorder="1" applyAlignment="1">
      <alignment horizontal="center"/>
    </xf>
    <xf numFmtId="0" fontId="10" fillId="166" borderId="1" xfId="0" applyNumberFormat="1" applyFont="1" applyFill="1" applyBorder="1" applyAlignment="1">
      <alignment horizontal="center"/>
    </xf>
    <xf numFmtId="0" fontId="10" fillId="166" borderId="3" xfId="0" applyNumberFormat="1" applyFont="1" applyFill="1" applyBorder="1" applyAlignment="1">
      <alignment horizontal="center"/>
    </xf>
    <xf numFmtId="0" fontId="10" fillId="140" borderId="1" xfId="0" applyNumberFormat="1" applyFont="1" applyFill="1" applyBorder="1" applyAlignment="1">
      <alignment horizontal="center"/>
    </xf>
    <xf numFmtId="165" fontId="0" fillId="6" borderId="2" xfId="1" applyNumberFormat="1" applyFont="1" applyFill="1" applyBorder="1" applyAlignment="1">
      <alignment horizontal="center" vertical="center"/>
    </xf>
    <xf numFmtId="0" fontId="10" fillId="140" borderId="3" xfId="0" applyNumberFormat="1" applyFont="1" applyFill="1" applyBorder="1" applyAlignment="1">
      <alignment horizontal="center"/>
    </xf>
    <xf numFmtId="0" fontId="10" fillId="91" borderId="1" xfId="0" applyNumberFormat="1" applyFont="1" applyFill="1" applyBorder="1" applyAlignment="1">
      <alignment horizontal="center"/>
    </xf>
    <xf numFmtId="0" fontId="10" fillId="91" borderId="3" xfId="0" applyNumberFormat="1" applyFont="1" applyFill="1" applyBorder="1" applyAlignment="1">
      <alignment horizontal="center"/>
    </xf>
    <xf numFmtId="165" fontId="0" fillId="20" borderId="1" xfId="1" applyNumberFormat="1" applyFont="1" applyFill="1" applyBorder="1" applyAlignment="1">
      <alignment horizontal="center"/>
    </xf>
    <xf numFmtId="0" fontId="10" fillId="104" borderId="1" xfId="0" applyNumberFormat="1" applyFont="1" applyFill="1" applyBorder="1" applyAlignment="1">
      <alignment horizontal="center"/>
    </xf>
    <xf numFmtId="0" fontId="10" fillId="104" borderId="3" xfId="0" applyNumberFormat="1" applyFont="1" applyFill="1" applyBorder="1" applyAlignment="1">
      <alignment horizontal="center"/>
    </xf>
    <xf numFmtId="0" fontId="10" fillId="167" borderId="1" xfId="0" applyNumberFormat="1" applyFont="1" applyFill="1" applyBorder="1" applyAlignment="1">
      <alignment horizontal="center"/>
    </xf>
    <xf numFmtId="0" fontId="10" fillId="167" borderId="3" xfId="0" applyNumberFormat="1" applyFont="1" applyFill="1" applyBorder="1" applyAlignment="1">
      <alignment horizontal="center"/>
    </xf>
    <xf numFmtId="0" fontId="10" fillId="127" borderId="1" xfId="0" applyNumberFormat="1" applyFont="1" applyFill="1" applyBorder="1" applyAlignment="1">
      <alignment horizontal="center"/>
    </xf>
    <xf numFmtId="0" fontId="10" fillId="168" borderId="1" xfId="0" applyNumberFormat="1" applyFont="1" applyFill="1" applyBorder="1" applyAlignment="1">
      <alignment horizontal="center"/>
    </xf>
    <xf numFmtId="0" fontId="10" fillId="168" borderId="3" xfId="0" applyNumberFormat="1" applyFont="1" applyFill="1" applyBorder="1" applyAlignment="1">
      <alignment horizontal="center"/>
    </xf>
    <xf numFmtId="0" fontId="10" fillId="169" borderId="1" xfId="0" applyNumberFormat="1" applyFont="1" applyFill="1" applyBorder="1" applyAlignment="1">
      <alignment horizontal="center"/>
    </xf>
    <xf numFmtId="0" fontId="10" fillId="23" borderId="1" xfId="0" applyNumberFormat="1" applyFont="1" applyFill="1" applyBorder="1" applyAlignment="1">
      <alignment horizontal="center"/>
    </xf>
    <xf numFmtId="0" fontId="10" fillId="170" borderId="1" xfId="0" applyNumberFormat="1" applyFont="1" applyFill="1" applyBorder="1" applyAlignment="1">
      <alignment horizontal="center"/>
    </xf>
    <xf numFmtId="0" fontId="10" fillId="23" borderId="3" xfId="0" applyNumberFormat="1" applyFont="1" applyFill="1" applyBorder="1" applyAlignment="1">
      <alignment horizontal="center"/>
    </xf>
    <xf numFmtId="0" fontId="10" fillId="170" borderId="3" xfId="0" applyNumberFormat="1" applyFont="1" applyFill="1" applyBorder="1" applyAlignment="1">
      <alignment horizontal="center"/>
    </xf>
    <xf numFmtId="0" fontId="19" fillId="0" borderId="2" xfId="0" applyNumberFormat="1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24" fillId="0" borderId="1" xfId="0" applyFont="1" applyFill="1" applyBorder="1" applyAlignment="1"/>
    <xf numFmtId="0" fontId="24" fillId="0" borderId="1" xfId="0" applyFont="1" applyBorder="1" applyAlignment="1"/>
    <xf numFmtId="0" fontId="24" fillId="0" borderId="0" xfId="0" applyFont="1" applyAlignment="1"/>
    <xf numFmtId="3" fontId="0" fillId="59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25" fillId="0" borderId="1" xfId="0" applyNumberFormat="1" applyFont="1" applyFill="1" applyBorder="1" applyAlignment="1">
      <alignment horizontal="center"/>
    </xf>
    <xf numFmtId="3" fontId="19" fillId="0" borderId="1" xfId="0" applyNumberFormat="1" applyFont="1" applyFill="1" applyBorder="1" applyAlignment="1">
      <alignment horizontal="center" vertical="center"/>
    </xf>
    <xf numFmtId="0" fontId="19" fillId="0" borderId="0" xfId="0" applyFont="1" applyFill="1" applyBorder="1"/>
    <xf numFmtId="3" fontId="26" fillId="0" borderId="1" xfId="0" applyNumberFormat="1" applyFont="1" applyFill="1" applyBorder="1" applyAlignment="1">
      <alignment horizontal="center"/>
    </xf>
    <xf numFmtId="3" fontId="26" fillId="0" borderId="1" xfId="0" applyNumberFormat="1" applyFont="1" applyFill="1" applyBorder="1" applyAlignment="1">
      <alignment horizontal="center" vertical="center"/>
    </xf>
    <xf numFmtId="3" fontId="29" fillId="0" borderId="1" xfId="0" applyNumberFormat="1" applyFont="1" applyFill="1" applyBorder="1" applyAlignment="1">
      <alignment horizontal="center" vertical="center"/>
    </xf>
    <xf numFmtId="3" fontId="29" fillId="0" borderId="1" xfId="0" applyNumberFormat="1" applyFont="1" applyFill="1" applyBorder="1" applyAlignment="1">
      <alignment horizontal="center" vertical="center" wrapText="1"/>
    </xf>
    <xf numFmtId="3" fontId="27" fillId="0" borderId="1" xfId="0" applyNumberFormat="1" applyFont="1" applyFill="1" applyBorder="1" applyAlignment="1">
      <alignment horizontal="center" vertical="center"/>
    </xf>
    <xf numFmtId="3" fontId="28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 wrapText="1"/>
    </xf>
    <xf numFmtId="166" fontId="24" fillId="0" borderId="1" xfId="1" applyNumberFormat="1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166" fontId="24" fillId="0" borderId="1" xfId="0" applyNumberFormat="1" applyFont="1" applyFill="1" applyBorder="1" applyAlignment="1">
      <alignment horizontal="left" vertical="center"/>
    </xf>
    <xf numFmtId="166" fontId="24" fillId="0" borderId="1" xfId="1" applyNumberFormat="1" applyFont="1" applyFill="1" applyBorder="1" applyAlignment="1">
      <alignment horizontal="left" vertical="center" wrapText="1"/>
    </xf>
    <xf numFmtId="1" fontId="24" fillId="0" borderId="1" xfId="0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3" fontId="30" fillId="0" borderId="1" xfId="0" applyNumberFormat="1" applyFont="1" applyFill="1" applyBorder="1" applyAlignment="1">
      <alignment horizontal="center" vertical="center"/>
    </xf>
    <xf numFmtId="3" fontId="31" fillId="0" borderId="1" xfId="0" applyNumberFormat="1" applyFont="1" applyFill="1" applyBorder="1" applyAlignment="1">
      <alignment horizontal="center" vertical="center"/>
    </xf>
    <xf numFmtId="3" fontId="31" fillId="0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32" fillId="0" borderId="1" xfId="0" applyNumberFormat="1" applyFont="1" applyFill="1" applyBorder="1" applyAlignment="1">
      <alignment horizontal="center" vertical="center"/>
    </xf>
    <xf numFmtId="3" fontId="32" fillId="0" borderId="1" xfId="0" applyNumberFormat="1" applyFont="1" applyBorder="1" applyAlignment="1">
      <alignment horizontal="center"/>
    </xf>
    <xf numFmtId="3" fontId="33" fillId="0" borderId="1" xfId="0" applyNumberFormat="1" applyFont="1" applyBorder="1" applyAlignment="1">
      <alignment horizontal="center" vertical="center"/>
    </xf>
    <xf numFmtId="3" fontId="3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20" fillId="70" borderId="19" xfId="0" applyNumberFormat="1" applyFont="1" applyFill="1" applyBorder="1" applyAlignment="1">
      <alignment horizontal="center" vertical="center"/>
    </xf>
    <xf numFmtId="49" fontId="0" fillId="70" borderId="1" xfId="0" applyNumberFormat="1" applyFill="1" applyBorder="1" applyAlignment="1">
      <alignment horizontal="center" vertical="center"/>
    </xf>
    <xf numFmtId="166" fontId="7" fillId="65" borderId="5" xfId="1" applyNumberFormat="1" applyFont="1" applyFill="1" applyBorder="1" applyAlignment="1">
      <alignment horizontal="center" vertical="center"/>
    </xf>
    <xf numFmtId="166" fontId="7" fillId="66" borderId="5" xfId="1" applyNumberFormat="1" applyFont="1" applyFill="1" applyBorder="1" applyAlignment="1">
      <alignment horizontal="center" vertical="center"/>
    </xf>
    <xf numFmtId="166" fontId="7" fillId="67" borderId="5" xfId="1" applyNumberFormat="1" applyFont="1" applyFill="1" applyBorder="1" applyAlignment="1">
      <alignment horizontal="center" vertical="center"/>
    </xf>
    <xf numFmtId="166" fontId="7" fillId="68" borderId="5" xfId="1" applyNumberFormat="1" applyFont="1" applyFill="1" applyBorder="1" applyAlignment="1">
      <alignment horizontal="center" vertical="center"/>
    </xf>
    <xf numFmtId="166" fontId="7" fillId="20" borderId="5" xfId="1" applyNumberFormat="1" applyFont="1" applyFill="1" applyBorder="1" applyAlignment="1">
      <alignment horizontal="center" vertical="center"/>
    </xf>
    <xf numFmtId="166" fontId="7" fillId="75" borderId="1" xfId="1" applyNumberFormat="1" applyFont="1" applyFill="1" applyBorder="1" applyAlignment="1">
      <alignment horizontal="center" vertical="center"/>
    </xf>
    <xf numFmtId="0" fontId="0" fillId="61" borderId="5" xfId="0" applyFont="1" applyFill="1" applyBorder="1" applyAlignment="1">
      <alignment horizontal="center" vertical="center"/>
    </xf>
    <xf numFmtId="0" fontId="0" fillId="62" borderId="5" xfId="0" applyFont="1" applyFill="1" applyBorder="1" applyAlignment="1">
      <alignment horizontal="center" vertical="center"/>
    </xf>
    <xf numFmtId="166" fontId="7" fillId="63" borderId="5" xfId="1" applyNumberFormat="1" applyFont="1" applyFill="1" applyBorder="1" applyAlignment="1">
      <alignment horizontal="center" vertical="center"/>
    </xf>
    <xf numFmtId="166" fontId="7" fillId="64" borderId="5" xfId="1" applyNumberFormat="1" applyFont="1" applyFill="1" applyBorder="1" applyAlignment="1">
      <alignment horizontal="center" vertical="center"/>
    </xf>
    <xf numFmtId="0" fontId="20" fillId="80" borderId="3" xfId="0" applyNumberFormat="1" applyFont="1" applyFill="1" applyBorder="1" applyAlignment="1">
      <alignment horizontal="center" vertical="center"/>
    </xf>
    <xf numFmtId="0" fontId="20" fillId="80" borderId="9" xfId="0" applyNumberFormat="1" applyFont="1" applyFill="1" applyBorder="1" applyAlignment="1">
      <alignment horizontal="center" vertical="center"/>
    </xf>
    <xf numFmtId="0" fontId="20" fillId="80" borderId="11" xfId="0" applyNumberFormat="1" applyFont="1" applyFill="1" applyBorder="1" applyAlignment="1">
      <alignment horizontal="center" vertical="center"/>
    </xf>
    <xf numFmtId="0" fontId="20" fillId="80" borderId="2" xfId="0" applyNumberFormat="1" applyFont="1" applyFill="1" applyBorder="1" applyAlignment="1">
      <alignment horizontal="center" vertical="center"/>
    </xf>
    <xf numFmtId="166" fontId="7" fillId="117" borderId="2" xfId="1" applyNumberFormat="1" applyFont="1" applyFill="1" applyBorder="1" applyAlignment="1">
      <alignment horizontal="center" vertical="center"/>
    </xf>
    <xf numFmtId="166" fontId="7" fillId="117" borderId="3" xfId="1" applyNumberFormat="1" applyFont="1" applyFill="1" applyBorder="1" applyAlignment="1">
      <alignment horizontal="center" vertical="center"/>
    </xf>
    <xf numFmtId="166" fontId="7" fillId="117" borderId="9" xfId="1" applyNumberFormat="1" applyFont="1" applyFill="1" applyBorder="1" applyAlignment="1">
      <alignment horizontal="center" vertical="center"/>
    </xf>
    <xf numFmtId="166" fontId="7" fillId="26" borderId="3" xfId="1" applyNumberFormat="1" applyFont="1" applyFill="1" applyBorder="1" applyAlignment="1">
      <alignment horizontal="center" vertical="center"/>
    </xf>
    <xf numFmtId="166" fontId="7" fillId="26" borderId="9" xfId="1" applyNumberFormat="1" applyFont="1" applyFill="1" applyBorder="1" applyAlignment="1">
      <alignment horizontal="center" vertical="center"/>
    </xf>
    <xf numFmtId="166" fontId="7" fillId="123" borderId="2" xfId="1" applyNumberFormat="1" applyFont="1" applyFill="1" applyBorder="1" applyAlignment="1">
      <alignment horizontal="center" vertical="center"/>
    </xf>
    <xf numFmtId="166" fontId="7" fillId="123" borderId="3" xfId="1" applyNumberFormat="1" applyFont="1" applyFill="1" applyBorder="1" applyAlignment="1">
      <alignment horizontal="center" vertical="center"/>
    </xf>
    <xf numFmtId="166" fontId="7" fillId="123" borderId="9" xfId="1" applyNumberFormat="1" applyFont="1" applyFill="1" applyBorder="1" applyAlignment="1">
      <alignment horizontal="center" vertical="center"/>
    </xf>
    <xf numFmtId="166" fontId="7" fillId="105" borderId="2" xfId="1" applyNumberFormat="1" applyFont="1" applyFill="1" applyBorder="1" applyAlignment="1">
      <alignment horizontal="center" vertical="center"/>
    </xf>
    <xf numFmtId="166" fontId="7" fillId="105" borderId="3" xfId="1" applyNumberFormat="1" applyFont="1" applyFill="1" applyBorder="1" applyAlignment="1">
      <alignment horizontal="center" vertical="center"/>
    </xf>
    <xf numFmtId="166" fontId="7" fillId="105" borderId="9" xfId="1" applyNumberFormat="1" applyFont="1" applyFill="1" applyBorder="1" applyAlignment="1">
      <alignment horizontal="center" vertical="center"/>
    </xf>
    <xf numFmtId="166" fontId="7" fillId="79" borderId="2" xfId="1" applyNumberFormat="1" applyFont="1" applyFill="1" applyBorder="1" applyAlignment="1">
      <alignment horizontal="center" vertical="center"/>
    </xf>
    <xf numFmtId="166" fontId="7" fillId="79" borderId="3" xfId="1" applyNumberFormat="1" applyFont="1" applyFill="1" applyBorder="1" applyAlignment="1">
      <alignment horizontal="center" vertical="center"/>
    </xf>
    <xf numFmtId="166" fontId="7" fillId="79" borderId="9" xfId="1" applyNumberFormat="1" applyFont="1" applyFill="1" applyBorder="1" applyAlignment="1">
      <alignment horizontal="center" vertical="center"/>
    </xf>
    <xf numFmtId="166" fontId="7" fillId="0" borderId="2" xfId="1" applyNumberFormat="1" applyFont="1" applyFill="1" applyBorder="1" applyAlignment="1">
      <alignment horizontal="center" vertical="center"/>
    </xf>
    <xf numFmtId="166" fontId="7" fillId="0" borderId="3" xfId="1" applyNumberFormat="1" applyFont="1" applyFill="1" applyBorder="1" applyAlignment="1">
      <alignment horizontal="center" vertical="center"/>
    </xf>
    <xf numFmtId="166" fontId="7" fillId="0" borderId="9" xfId="1" applyNumberFormat="1" applyFont="1" applyFill="1" applyBorder="1" applyAlignment="1">
      <alignment horizontal="center" vertical="center"/>
    </xf>
    <xf numFmtId="166" fontId="7" fillId="87" borderId="3" xfId="1" applyNumberFormat="1" applyFont="1" applyFill="1" applyBorder="1" applyAlignment="1">
      <alignment horizontal="center" vertical="center"/>
    </xf>
    <xf numFmtId="166" fontId="7" fillId="15" borderId="1" xfId="1" applyNumberFormat="1" applyFont="1" applyFill="1" applyBorder="1" applyAlignment="1">
      <alignment horizontal="center" vertical="center"/>
    </xf>
    <xf numFmtId="166" fontId="7" fillId="31" borderId="1" xfId="1" applyNumberFormat="1" applyFont="1" applyFill="1" applyBorder="1" applyAlignment="1">
      <alignment horizontal="center" vertical="center"/>
    </xf>
    <xf numFmtId="166" fontId="7" fillId="112" borderId="1" xfId="1" applyNumberFormat="1" applyFont="1" applyFill="1" applyBorder="1" applyAlignment="1">
      <alignment horizontal="center" vertical="center"/>
    </xf>
    <xf numFmtId="166" fontId="7" fillId="84" borderId="1" xfId="1" applyNumberFormat="1" applyFont="1" applyFill="1" applyBorder="1" applyAlignment="1">
      <alignment horizontal="center" vertical="center"/>
    </xf>
    <xf numFmtId="166" fontId="7" fillId="107" borderId="1" xfId="1" applyNumberFormat="1" applyFont="1" applyFill="1" applyBorder="1" applyAlignment="1">
      <alignment horizontal="center" vertical="center"/>
    </xf>
    <xf numFmtId="166" fontId="7" fillId="0" borderId="2" xfId="1" applyNumberFormat="1" applyFont="1" applyFill="1" applyBorder="1" applyAlignment="1">
      <alignment horizontal="center"/>
    </xf>
    <xf numFmtId="166" fontId="7" fillId="0" borderId="3" xfId="1" applyNumberFormat="1" applyFont="1" applyFill="1" applyBorder="1" applyAlignment="1">
      <alignment horizontal="center"/>
    </xf>
    <xf numFmtId="166" fontId="7" fillId="0" borderId="9" xfId="1" applyNumberFormat="1" applyFont="1" applyFill="1" applyBorder="1" applyAlignment="1">
      <alignment horizontal="center"/>
    </xf>
    <xf numFmtId="0" fontId="20" fillId="171" borderId="2" xfId="0" applyNumberFormat="1" applyFont="1" applyFill="1" applyBorder="1" applyAlignment="1">
      <alignment horizontal="center" vertical="center"/>
    </xf>
    <xf numFmtId="0" fontId="20" fillId="171" borderId="3" xfId="0" applyNumberFormat="1" applyFont="1" applyFill="1" applyBorder="1" applyAlignment="1">
      <alignment horizontal="center" vertical="center"/>
    </xf>
    <xf numFmtId="0" fontId="20" fillId="171" borderId="9" xfId="0" applyNumberFormat="1" applyFont="1" applyFill="1" applyBorder="1" applyAlignment="1">
      <alignment horizontal="center" vertical="center"/>
    </xf>
    <xf numFmtId="0" fontId="20" fillId="125" borderId="11" xfId="0" applyNumberFormat="1" applyFont="1" applyFill="1" applyBorder="1" applyAlignment="1">
      <alignment horizontal="center" vertical="center"/>
    </xf>
    <xf numFmtId="0" fontId="20" fillId="125" borderId="21" xfId="0" applyNumberFormat="1" applyFont="1" applyFill="1" applyBorder="1" applyAlignment="1">
      <alignment horizontal="center" vertical="center"/>
    </xf>
    <xf numFmtId="166" fontId="0" fillId="157" borderId="2" xfId="1" applyNumberFormat="1" applyFont="1" applyFill="1" applyBorder="1" applyAlignment="1">
      <alignment horizontal="center" vertical="center"/>
    </xf>
    <xf numFmtId="166" fontId="7" fillId="157" borderId="3" xfId="1" applyNumberFormat="1" applyFont="1" applyFill="1" applyBorder="1" applyAlignment="1">
      <alignment horizontal="center" vertical="center"/>
    </xf>
    <xf numFmtId="166" fontId="7" fillId="157" borderId="9" xfId="1" applyNumberFormat="1" applyFont="1" applyFill="1" applyBorder="1" applyAlignment="1">
      <alignment horizontal="center" vertical="center"/>
    </xf>
    <xf numFmtId="166" fontId="0" fillId="154" borderId="2" xfId="1" applyNumberFormat="1" applyFont="1" applyFill="1" applyBorder="1" applyAlignment="1">
      <alignment horizontal="center" vertical="center"/>
    </xf>
    <xf numFmtId="166" fontId="7" fillId="154" borderId="3" xfId="1" applyNumberFormat="1" applyFont="1" applyFill="1" applyBorder="1" applyAlignment="1">
      <alignment horizontal="center" vertical="center"/>
    </xf>
    <xf numFmtId="166" fontId="7" fillId="154" borderId="9" xfId="1" applyNumberFormat="1" applyFont="1" applyFill="1" applyBorder="1" applyAlignment="1">
      <alignment horizontal="center" vertical="center"/>
    </xf>
    <xf numFmtId="166" fontId="0" fillId="149" borderId="2" xfId="1" applyNumberFormat="1" applyFont="1" applyFill="1" applyBorder="1" applyAlignment="1">
      <alignment horizontal="center" vertical="center"/>
    </xf>
    <xf numFmtId="166" fontId="7" fillId="149" borderId="3" xfId="1" applyNumberFormat="1" applyFont="1" applyFill="1" applyBorder="1" applyAlignment="1">
      <alignment horizontal="center" vertical="center"/>
    </xf>
    <xf numFmtId="166" fontId="7" fillId="149" borderId="9" xfId="1" applyNumberFormat="1" applyFont="1" applyFill="1" applyBorder="1" applyAlignment="1">
      <alignment horizontal="center" vertical="center"/>
    </xf>
    <xf numFmtId="166" fontId="0" fillId="142" borderId="2" xfId="1" applyNumberFormat="1" applyFont="1" applyFill="1" applyBorder="1" applyAlignment="1">
      <alignment horizontal="center" vertical="center"/>
    </xf>
    <xf numFmtId="166" fontId="7" fillId="142" borderId="3" xfId="1" applyNumberFormat="1" applyFont="1" applyFill="1" applyBorder="1" applyAlignment="1">
      <alignment horizontal="center" vertical="center"/>
    </xf>
    <xf numFmtId="166" fontId="7" fillId="142" borderId="9" xfId="1" applyNumberFormat="1" applyFont="1" applyFill="1" applyBorder="1" applyAlignment="1">
      <alignment horizontal="center" vertical="center"/>
    </xf>
    <xf numFmtId="166" fontId="0" fillId="160" borderId="2" xfId="1" applyNumberFormat="1" applyFont="1" applyFill="1" applyBorder="1" applyAlignment="1">
      <alignment horizontal="center" vertical="center"/>
    </xf>
    <xf numFmtId="166" fontId="7" fillId="160" borderId="3" xfId="1" applyNumberFormat="1" applyFont="1" applyFill="1" applyBorder="1" applyAlignment="1">
      <alignment horizontal="center" vertical="center"/>
    </xf>
    <xf numFmtId="166" fontId="7" fillId="160" borderId="9" xfId="1" applyNumberFormat="1" applyFont="1" applyFill="1" applyBorder="1" applyAlignment="1">
      <alignment horizontal="center" vertical="center"/>
    </xf>
    <xf numFmtId="166" fontId="0" fillId="147" borderId="2" xfId="1" applyNumberFormat="1" applyFont="1" applyFill="1" applyBorder="1" applyAlignment="1">
      <alignment horizontal="center" vertical="center"/>
    </xf>
    <xf numFmtId="166" fontId="7" fillId="147" borderId="3" xfId="1" applyNumberFormat="1" applyFont="1" applyFill="1" applyBorder="1" applyAlignment="1">
      <alignment horizontal="center" vertical="center"/>
    </xf>
    <xf numFmtId="166" fontId="7" fillId="147" borderId="9" xfId="1" applyNumberFormat="1" applyFont="1" applyFill="1" applyBorder="1" applyAlignment="1">
      <alignment horizontal="center" vertical="center"/>
    </xf>
    <xf numFmtId="166" fontId="7" fillId="137" borderId="2" xfId="1" applyNumberFormat="1" applyFont="1" applyFill="1" applyBorder="1" applyAlignment="1">
      <alignment horizontal="center" vertical="center"/>
    </xf>
    <xf numFmtId="166" fontId="7" fillId="137" borderId="3" xfId="1" applyNumberFormat="1" applyFont="1" applyFill="1" applyBorder="1" applyAlignment="1">
      <alignment horizontal="center" vertical="center"/>
    </xf>
    <xf numFmtId="166" fontId="7" fillId="137" borderId="9" xfId="1" applyNumberFormat="1" applyFont="1" applyFill="1" applyBorder="1" applyAlignment="1">
      <alignment horizontal="center" vertical="center"/>
    </xf>
    <xf numFmtId="166" fontId="7" fillId="127" borderId="2" xfId="1" applyNumberFormat="1" applyFont="1" applyFill="1" applyBorder="1" applyAlignment="1">
      <alignment horizontal="center" vertical="center"/>
    </xf>
    <xf numFmtId="166" fontId="7" fillId="127" borderId="3" xfId="1" applyNumberFormat="1" applyFont="1" applyFill="1" applyBorder="1" applyAlignment="1">
      <alignment horizontal="center" vertical="center"/>
    </xf>
    <xf numFmtId="166" fontId="7" fillId="127" borderId="9" xfId="1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left" vertical="center" wrapText="1"/>
    </xf>
    <xf numFmtId="1" fontId="1" fillId="3" borderId="9" xfId="0" applyNumberFormat="1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0" fontId="4" fillId="6" borderId="12" xfId="0" applyFont="1" applyFill="1" applyBorder="1" applyAlignment="1">
      <alignment horizontal="center" vertical="top" wrapText="1"/>
    </xf>
    <xf numFmtId="0" fontId="5" fillId="6" borderId="13" xfId="0" applyFont="1" applyFill="1" applyBorder="1" applyAlignment="1">
      <alignment horizontal="center" vertical="top" wrapText="1"/>
    </xf>
    <xf numFmtId="0" fontId="5" fillId="6" borderId="15" xfId="0" applyFont="1" applyFill="1" applyBorder="1" applyAlignment="1">
      <alignment horizontal="center" vertical="top" wrapText="1"/>
    </xf>
    <xf numFmtId="0" fontId="5" fillId="6" borderId="16" xfId="0" applyFont="1" applyFill="1" applyBorder="1" applyAlignment="1">
      <alignment horizontal="center" vertical="top" wrapText="1"/>
    </xf>
    <xf numFmtId="0" fontId="2" fillId="18" borderId="7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2" fillId="18" borderId="21" xfId="0" applyFont="1" applyFill="1" applyBorder="1" applyAlignment="1">
      <alignment horizontal="center" vertical="center"/>
    </xf>
    <xf numFmtId="164" fontId="0" fillId="0" borderId="0" xfId="1" applyFont="1" applyAlignment="1">
      <alignment horizontal="center"/>
    </xf>
    <xf numFmtId="0" fontId="13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0" fillId="2" borderId="14" xfId="0" applyFill="1" applyBorder="1" applyAlignment="1">
      <alignment horizontal="center" vertical="top"/>
    </xf>
    <xf numFmtId="0" fontId="0" fillId="2" borderId="15" xfId="0" applyFill="1" applyBorder="1" applyAlignment="1">
      <alignment horizontal="center" vertical="top"/>
    </xf>
    <xf numFmtId="0" fontId="0" fillId="2" borderId="16" xfId="0" applyFill="1" applyBorder="1" applyAlignment="1">
      <alignment horizontal="center" vertical="top"/>
    </xf>
    <xf numFmtId="0" fontId="0" fillId="2" borderId="17" xfId="0" applyFill="1" applyBorder="1" applyAlignment="1">
      <alignment horizontal="center" vertical="top"/>
    </xf>
  </cellXfs>
  <cellStyles count="4">
    <cellStyle name="Milliers" xfId="1" builtinId="3"/>
    <cellStyle name="Milliers 2" xfId="2"/>
    <cellStyle name="Milliers 3" xfId="3"/>
    <cellStyle name="Normal" xfId="0" builtinId="0"/>
  </cellStyles>
  <dxfs count="0"/>
  <tableStyles count="0" defaultTableStyle="TableStyleMedium2" defaultPivotStyle="PivotStyleLight16"/>
  <colors>
    <mruColors>
      <color rgb="FF336699"/>
      <color rgb="FF00FFCC"/>
      <color rgb="FF66FF33"/>
      <color rgb="FF40845F"/>
      <color rgb="FFFE9802"/>
      <color rgb="FF887544"/>
      <color rgb="FF3399FF"/>
      <color rgb="FF666699"/>
      <color rgb="FFC7F0F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1</xdr:col>
      <xdr:colOff>142875</xdr:colOff>
      <xdr:row>7</xdr:row>
      <xdr:rowOff>19049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D4428A2A-D307-43CB-885C-BC7100A7CF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981075" cy="1409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1534583</xdr:colOff>
      <xdr:row>0</xdr:row>
      <xdr:rowOff>74084</xdr:rowOff>
    </xdr:from>
    <xdr:to>
      <xdr:col>10</xdr:col>
      <xdr:colOff>1976220</xdr:colOff>
      <xdr:row>3</xdr:row>
      <xdr:rowOff>125149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3D15CC3B-7DFC-48EC-86FA-545605327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8166" y="74084"/>
          <a:ext cx="441637" cy="6437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666750</xdr:colOff>
      <xdr:row>0</xdr:row>
      <xdr:rowOff>95250</xdr:rowOff>
    </xdr:from>
    <xdr:to>
      <xdr:col>6</xdr:col>
      <xdr:colOff>346387</xdr:colOff>
      <xdr:row>3</xdr:row>
      <xdr:rowOff>127265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E7812AEE-3644-4D2D-BC7E-EFA082203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5250"/>
          <a:ext cx="441637" cy="6225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628650</xdr:colOff>
      <xdr:row>0</xdr:row>
      <xdr:rowOff>95250</xdr:rowOff>
    </xdr:from>
    <xdr:to>
      <xdr:col>4</xdr:col>
      <xdr:colOff>1070287</xdr:colOff>
      <xdr:row>3</xdr:row>
      <xdr:rowOff>127265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0779259F-DF8B-4945-9B73-D39117C1F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95250"/>
          <a:ext cx="441637" cy="6225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0</xdr:row>
      <xdr:rowOff>76200</xdr:rowOff>
    </xdr:from>
    <xdr:to>
      <xdr:col>5</xdr:col>
      <xdr:colOff>822637</xdr:colOff>
      <xdr:row>3</xdr:row>
      <xdr:rowOff>108215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76BEA5E8-5E6B-4274-B1BA-C5AA20424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76200"/>
          <a:ext cx="441637" cy="6225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14</xdr:row>
      <xdr:rowOff>180975</xdr:rowOff>
    </xdr:from>
    <xdr:to>
      <xdr:col>3</xdr:col>
      <xdr:colOff>19050</xdr:colOff>
      <xdr:row>27</xdr:row>
      <xdr:rowOff>519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1003CB26-5983-4874-A390-B5EA07234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0" y="2085975"/>
          <a:ext cx="1628775" cy="22960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0</xdr:row>
      <xdr:rowOff>85725</xdr:rowOff>
    </xdr:from>
    <xdr:to>
      <xdr:col>6</xdr:col>
      <xdr:colOff>889312</xdr:colOff>
      <xdr:row>3</xdr:row>
      <xdr:rowOff>146315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EA99364C-D574-48E7-83C9-3B45427CA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85725"/>
          <a:ext cx="441637" cy="6416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0</xdr:row>
      <xdr:rowOff>85725</xdr:rowOff>
    </xdr:from>
    <xdr:to>
      <xdr:col>6</xdr:col>
      <xdr:colOff>889312</xdr:colOff>
      <xdr:row>3</xdr:row>
      <xdr:rowOff>136790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9187B9B0-D852-439E-B9B1-35C699CD3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25" y="85725"/>
          <a:ext cx="441637" cy="6416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1066800</xdr:colOff>
      <xdr:row>0</xdr:row>
      <xdr:rowOff>95250</xdr:rowOff>
    </xdr:from>
    <xdr:to>
      <xdr:col>5</xdr:col>
      <xdr:colOff>1508437</xdr:colOff>
      <xdr:row>3</xdr:row>
      <xdr:rowOff>127265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AED20846-E5DC-47D7-A5C5-A1C42ACEF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0" y="95250"/>
          <a:ext cx="441637" cy="622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Q884"/>
  <sheetViews>
    <sheetView topLeftCell="A3" zoomScaleNormal="100" workbookViewId="0">
      <selection activeCell="C4" sqref="C4"/>
    </sheetView>
  </sheetViews>
  <sheetFormatPr baseColWidth="10" defaultRowHeight="15" x14ac:dyDescent="0.25"/>
  <cols>
    <col min="1" max="1" width="13.85546875" style="148" bestFit="1" customWidth="1"/>
    <col min="2" max="2" width="26" style="430" bestFit="1" customWidth="1"/>
    <col min="3" max="3" width="25.5703125" style="347" bestFit="1" customWidth="1"/>
    <col min="4" max="4" width="22" style="437" customWidth="1"/>
    <col min="5" max="5" width="22.85546875" style="437" customWidth="1"/>
    <col min="6" max="6" width="21" style="449" customWidth="1"/>
    <col min="7" max="8" width="21" style="86" customWidth="1"/>
    <col min="9" max="9" width="23" style="86" bestFit="1" customWidth="1"/>
    <col min="10" max="10" width="21" style="86" customWidth="1"/>
    <col min="11" max="11" width="25.85546875" bestFit="1" customWidth="1"/>
    <col min="12" max="12" width="21" style="86" customWidth="1"/>
    <col min="13" max="13" width="21.42578125" style="86" customWidth="1"/>
    <col min="14" max="14" width="21" style="86" customWidth="1"/>
    <col min="15" max="15" width="21.5703125" style="80" customWidth="1"/>
    <col min="16" max="16" width="14.5703125" customWidth="1"/>
  </cols>
  <sheetData>
    <row r="2" spans="1:15" x14ac:dyDescent="0.25">
      <c r="C2" s="347" t="s">
        <v>956</v>
      </c>
    </row>
    <row r="4" spans="1:15" x14ac:dyDescent="0.25">
      <c r="C4" s="347" t="s">
        <v>786</v>
      </c>
    </row>
    <row r="5" spans="1:15" ht="19.5" x14ac:dyDescent="0.25">
      <c r="E5" s="443" t="s">
        <v>785</v>
      </c>
    </row>
    <row r="6" spans="1:15" x14ac:dyDescent="0.25">
      <c r="B6" s="431"/>
      <c r="C6" s="593" t="s">
        <v>786</v>
      </c>
    </row>
    <row r="7" spans="1:15" x14ac:dyDescent="0.25">
      <c r="F7" s="449" t="s">
        <v>956</v>
      </c>
    </row>
    <row r="8" spans="1:15" x14ac:dyDescent="0.25">
      <c r="B8" s="424" t="s">
        <v>189</v>
      </c>
      <c r="C8" s="347" t="s">
        <v>2563</v>
      </c>
    </row>
    <row r="9" spans="1:15" x14ac:dyDescent="0.25">
      <c r="A9" s="177" t="s">
        <v>0</v>
      </c>
      <c r="B9" s="177" t="s">
        <v>134</v>
      </c>
      <c r="C9" s="177" t="s">
        <v>2239</v>
      </c>
      <c r="D9" s="177" t="s">
        <v>3441</v>
      </c>
      <c r="E9" s="177" t="s">
        <v>135</v>
      </c>
      <c r="F9" s="177" t="s">
        <v>136</v>
      </c>
      <c r="G9" s="177" t="s">
        <v>4</v>
      </c>
      <c r="H9" s="177" t="s">
        <v>15</v>
      </c>
      <c r="I9" s="177" t="s">
        <v>170</v>
      </c>
      <c r="J9" s="177" t="s">
        <v>32</v>
      </c>
      <c r="K9" s="177" t="s">
        <v>3294</v>
      </c>
      <c r="L9" s="177" t="s">
        <v>137</v>
      </c>
      <c r="M9" s="177" t="s">
        <v>140</v>
      </c>
      <c r="N9" s="177" t="s">
        <v>138</v>
      </c>
      <c r="O9" s="177" t="s">
        <v>161</v>
      </c>
    </row>
    <row r="10" spans="1:15" hidden="1" x14ac:dyDescent="0.25">
      <c r="A10" s="146">
        <v>1</v>
      </c>
      <c r="B10" s="76" t="s">
        <v>585</v>
      </c>
      <c r="C10" s="59" t="s">
        <v>154</v>
      </c>
      <c r="D10" s="24">
        <v>43937</v>
      </c>
      <c r="E10" s="24">
        <v>43939</v>
      </c>
      <c r="F10" s="450">
        <v>21000000</v>
      </c>
      <c r="G10" s="20">
        <v>23000000</v>
      </c>
      <c r="H10" s="120" t="s">
        <v>17</v>
      </c>
      <c r="I10" s="20"/>
      <c r="J10" s="20"/>
      <c r="K10" s="57" t="s">
        <v>139</v>
      </c>
      <c r="L10" s="20">
        <v>7000000</v>
      </c>
      <c r="M10" s="20">
        <v>16000000</v>
      </c>
      <c r="N10" s="20">
        <f>M10-(F10-L10)</f>
        <v>2000000</v>
      </c>
      <c r="O10" s="88" t="s">
        <v>153</v>
      </c>
    </row>
    <row r="11" spans="1:15" hidden="1" x14ac:dyDescent="0.25">
      <c r="A11" s="146">
        <f>A10+1</f>
        <v>2</v>
      </c>
      <c r="B11" s="76" t="s">
        <v>141</v>
      </c>
      <c r="C11" s="59" t="s">
        <v>155</v>
      </c>
      <c r="D11" s="24">
        <v>43938</v>
      </c>
      <c r="E11" s="24">
        <v>43938</v>
      </c>
      <c r="F11" s="450">
        <v>16000000</v>
      </c>
      <c r="G11" s="20">
        <v>16750000</v>
      </c>
      <c r="H11" s="120" t="s">
        <v>17</v>
      </c>
      <c r="I11" s="20"/>
      <c r="J11" s="20"/>
      <c r="K11" s="58"/>
      <c r="L11" s="20"/>
      <c r="M11" s="20"/>
      <c r="N11" s="20">
        <f t="shared" ref="N11:N24" si="0">G11-F11</f>
        <v>750000</v>
      </c>
      <c r="O11" s="331" t="s">
        <v>153</v>
      </c>
    </row>
    <row r="12" spans="1:15" hidden="1" x14ac:dyDescent="0.25">
      <c r="A12" s="146">
        <f t="shared" ref="A12:A75" si="1">A11+1</f>
        <v>3</v>
      </c>
      <c r="B12" s="76" t="s">
        <v>141</v>
      </c>
      <c r="C12" s="59" t="s">
        <v>156</v>
      </c>
      <c r="D12" s="24">
        <v>43938</v>
      </c>
      <c r="E12" s="24">
        <v>43939</v>
      </c>
      <c r="F12" s="450">
        <v>16000000</v>
      </c>
      <c r="G12" s="20">
        <v>16750000</v>
      </c>
      <c r="H12" s="120" t="s">
        <v>17</v>
      </c>
      <c r="I12" s="20"/>
      <c r="J12" s="20"/>
      <c r="K12" s="58"/>
      <c r="L12" s="20"/>
      <c r="M12" s="20"/>
      <c r="N12" s="20">
        <f t="shared" si="0"/>
        <v>750000</v>
      </c>
      <c r="O12" s="331" t="s">
        <v>153</v>
      </c>
    </row>
    <row r="13" spans="1:15" hidden="1" x14ac:dyDescent="0.25">
      <c r="A13" s="146">
        <f t="shared" si="1"/>
        <v>4</v>
      </c>
      <c r="B13" s="76" t="s">
        <v>141</v>
      </c>
      <c r="C13" s="59" t="s">
        <v>12</v>
      </c>
      <c r="D13" s="24">
        <v>43938</v>
      </c>
      <c r="E13" s="24">
        <v>43941</v>
      </c>
      <c r="F13" s="450">
        <v>16000000</v>
      </c>
      <c r="G13" s="20">
        <v>16400000</v>
      </c>
      <c r="H13" s="120" t="s">
        <v>17</v>
      </c>
      <c r="I13" s="20"/>
      <c r="J13" s="20"/>
      <c r="K13" s="2"/>
      <c r="L13" s="20"/>
      <c r="M13" s="20"/>
      <c r="N13" s="20">
        <f t="shared" si="0"/>
        <v>400000</v>
      </c>
      <c r="O13" s="332" t="s">
        <v>152</v>
      </c>
    </row>
    <row r="14" spans="1:15" hidden="1" x14ac:dyDescent="0.25">
      <c r="A14" s="425">
        <f t="shared" si="1"/>
        <v>5</v>
      </c>
      <c r="B14" s="77" t="s">
        <v>158</v>
      </c>
      <c r="C14" s="66" t="s">
        <v>9</v>
      </c>
      <c r="D14" s="438">
        <v>43939</v>
      </c>
      <c r="E14" s="438">
        <v>43941</v>
      </c>
      <c r="F14" s="451">
        <v>16000000</v>
      </c>
      <c r="G14" s="84">
        <v>16500000</v>
      </c>
      <c r="H14" s="120" t="s">
        <v>17</v>
      </c>
      <c r="I14" s="84"/>
      <c r="J14" s="84"/>
      <c r="K14" s="56"/>
      <c r="L14" s="84"/>
      <c r="M14" s="84"/>
      <c r="N14" s="84">
        <f t="shared" si="0"/>
        <v>500000</v>
      </c>
      <c r="O14" s="332" t="s">
        <v>152</v>
      </c>
    </row>
    <row r="15" spans="1:15" hidden="1" x14ac:dyDescent="0.25">
      <c r="A15" s="146">
        <f t="shared" si="1"/>
        <v>6</v>
      </c>
      <c r="B15" s="76" t="s">
        <v>141</v>
      </c>
      <c r="C15" s="59" t="s">
        <v>14</v>
      </c>
      <c r="D15" s="24">
        <v>43941</v>
      </c>
      <c r="E15" s="24">
        <v>43941</v>
      </c>
      <c r="F15" s="450">
        <v>14000000</v>
      </c>
      <c r="G15" s="20">
        <v>15500000</v>
      </c>
      <c r="H15" s="120" t="s">
        <v>17</v>
      </c>
      <c r="I15" s="20"/>
      <c r="J15" s="20"/>
      <c r="K15" s="2"/>
      <c r="L15" s="20"/>
      <c r="M15" s="20"/>
      <c r="N15" s="20">
        <f t="shared" si="0"/>
        <v>1500000</v>
      </c>
      <c r="O15" s="331" t="s">
        <v>153</v>
      </c>
    </row>
    <row r="16" spans="1:15" hidden="1" x14ac:dyDescent="0.25">
      <c r="A16" s="146">
        <f t="shared" si="1"/>
        <v>7</v>
      </c>
      <c r="B16" s="76" t="s">
        <v>141</v>
      </c>
      <c r="C16" s="59" t="s">
        <v>11</v>
      </c>
      <c r="D16" s="24">
        <v>43941</v>
      </c>
      <c r="E16" s="24">
        <v>43942</v>
      </c>
      <c r="F16" s="450">
        <v>14000000</v>
      </c>
      <c r="G16" s="20">
        <v>16000000</v>
      </c>
      <c r="H16" s="120" t="s">
        <v>17</v>
      </c>
      <c r="I16" s="20"/>
      <c r="J16" s="20"/>
      <c r="K16" s="2"/>
      <c r="L16" s="20"/>
      <c r="M16" s="20"/>
      <c r="N16" s="20">
        <f t="shared" si="0"/>
        <v>2000000</v>
      </c>
      <c r="O16" s="332" t="s">
        <v>152</v>
      </c>
    </row>
    <row r="17" spans="1:15" hidden="1" x14ac:dyDescent="0.25">
      <c r="A17" s="146">
        <f t="shared" si="1"/>
        <v>8</v>
      </c>
      <c r="B17" s="76" t="s">
        <v>141</v>
      </c>
      <c r="C17" s="59" t="s">
        <v>10</v>
      </c>
      <c r="D17" s="24">
        <v>43941</v>
      </c>
      <c r="E17" s="24">
        <v>43942</v>
      </c>
      <c r="F17" s="450">
        <v>14000000</v>
      </c>
      <c r="G17" s="20">
        <v>16000000</v>
      </c>
      <c r="H17" s="120" t="s">
        <v>17</v>
      </c>
      <c r="I17" s="20"/>
      <c r="J17" s="20"/>
      <c r="K17" s="2"/>
      <c r="L17" s="20"/>
      <c r="M17" s="20"/>
      <c r="N17" s="20">
        <f t="shared" si="0"/>
        <v>2000000</v>
      </c>
      <c r="O17" s="332" t="s">
        <v>152</v>
      </c>
    </row>
    <row r="18" spans="1:15" hidden="1" x14ac:dyDescent="0.25">
      <c r="A18" s="146">
        <f t="shared" si="1"/>
        <v>9</v>
      </c>
      <c r="B18" s="206" t="s">
        <v>142</v>
      </c>
      <c r="C18" s="2" t="s">
        <v>13</v>
      </c>
      <c r="D18" s="24">
        <v>43941</v>
      </c>
      <c r="E18" s="24">
        <v>43944</v>
      </c>
      <c r="F18" s="450">
        <v>14000000</v>
      </c>
      <c r="G18" s="20">
        <v>13250000</v>
      </c>
      <c r="H18" s="120" t="s">
        <v>17</v>
      </c>
      <c r="I18" s="20"/>
      <c r="J18" s="20"/>
      <c r="K18" s="2"/>
      <c r="L18" s="20"/>
      <c r="M18" s="20"/>
      <c r="N18" s="20">
        <f t="shared" si="0"/>
        <v>-750000</v>
      </c>
      <c r="O18" s="332" t="s">
        <v>152</v>
      </c>
    </row>
    <row r="19" spans="1:15" hidden="1" x14ac:dyDescent="0.25">
      <c r="A19" s="146">
        <f t="shared" si="1"/>
        <v>10</v>
      </c>
      <c r="B19" s="206" t="s">
        <v>143</v>
      </c>
      <c r="C19" s="2" t="s">
        <v>7</v>
      </c>
      <c r="D19" s="24">
        <v>43941</v>
      </c>
      <c r="E19" s="24">
        <v>43948</v>
      </c>
      <c r="F19" s="450">
        <v>11000000</v>
      </c>
      <c r="G19" s="20">
        <v>12000000</v>
      </c>
      <c r="H19" s="120" t="s">
        <v>17</v>
      </c>
      <c r="I19" s="20"/>
      <c r="J19" s="20"/>
      <c r="K19" s="2"/>
      <c r="L19" s="20"/>
      <c r="M19" s="20"/>
      <c r="N19" s="20">
        <f>G19-F19</f>
        <v>1000000</v>
      </c>
      <c r="O19" s="333" t="s">
        <v>162</v>
      </c>
    </row>
    <row r="20" spans="1:15" hidden="1" x14ac:dyDescent="0.25">
      <c r="A20" s="146">
        <f t="shared" si="1"/>
        <v>11</v>
      </c>
      <c r="B20" s="206" t="s">
        <v>144</v>
      </c>
      <c r="C20" s="2" t="s">
        <v>157</v>
      </c>
      <c r="D20" s="24">
        <v>43940</v>
      </c>
      <c r="E20" s="24">
        <v>43944</v>
      </c>
      <c r="F20" s="450">
        <v>20750000</v>
      </c>
      <c r="G20" s="20">
        <v>22500000</v>
      </c>
      <c r="H20" s="120" t="s">
        <v>17</v>
      </c>
      <c r="I20" s="20"/>
      <c r="J20" s="20"/>
      <c r="K20" s="2"/>
      <c r="L20" s="20"/>
      <c r="M20" s="20"/>
      <c r="N20" s="20">
        <f t="shared" si="0"/>
        <v>1750000</v>
      </c>
      <c r="O20" s="332" t="s">
        <v>152</v>
      </c>
    </row>
    <row r="21" spans="1:15" hidden="1" x14ac:dyDescent="0.25">
      <c r="A21" s="146">
        <f t="shared" si="1"/>
        <v>12</v>
      </c>
      <c r="B21" s="206" t="s">
        <v>148</v>
      </c>
      <c r="C21" s="2" t="s">
        <v>8</v>
      </c>
      <c r="D21" s="24">
        <v>43941</v>
      </c>
      <c r="E21" s="24">
        <v>43942</v>
      </c>
      <c r="F21" s="450">
        <v>15750000</v>
      </c>
      <c r="G21" s="20">
        <v>17250000</v>
      </c>
      <c r="H21" s="120" t="s">
        <v>17</v>
      </c>
      <c r="I21" s="20"/>
      <c r="J21" s="20"/>
      <c r="K21" s="2"/>
      <c r="L21" s="20"/>
      <c r="M21" s="20"/>
      <c r="N21" s="20">
        <f t="shared" si="0"/>
        <v>1500000</v>
      </c>
      <c r="O21" s="332" t="s">
        <v>152</v>
      </c>
    </row>
    <row r="22" spans="1:15" hidden="1" x14ac:dyDescent="0.25">
      <c r="A22" s="146">
        <f t="shared" si="1"/>
        <v>13</v>
      </c>
      <c r="B22" s="206" t="s">
        <v>145</v>
      </c>
      <c r="C22" s="2" t="s">
        <v>19</v>
      </c>
      <c r="D22" s="24">
        <v>43942</v>
      </c>
      <c r="E22" s="24">
        <v>43943</v>
      </c>
      <c r="F22" s="450">
        <v>13500000</v>
      </c>
      <c r="G22" s="20">
        <v>14600000</v>
      </c>
      <c r="H22" s="120" t="s">
        <v>17</v>
      </c>
      <c r="I22" s="20"/>
      <c r="J22" s="20"/>
      <c r="K22" s="2"/>
      <c r="L22" s="20"/>
      <c r="M22" s="20"/>
      <c r="N22" s="20">
        <f t="shared" si="0"/>
        <v>1100000</v>
      </c>
      <c r="O22" s="332" t="s">
        <v>152</v>
      </c>
    </row>
    <row r="23" spans="1:15" hidden="1" x14ac:dyDescent="0.25">
      <c r="A23" s="146">
        <f t="shared" si="1"/>
        <v>14</v>
      </c>
      <c r="B23" s="206" t="s">
        <v>145</v>
      </c>
      <c r="C23" s="2" t="s">
        <v>46</v>
      </c>
      <c r="D23" s="24">
        <v>43942</v>
      </c>
      <c r="E23" s="24">
        <v>43943</v>
      </c>
      <c r="F23" s="450">
        <v>13500000</v>
      </c>
      <c r="G23" s="20">
        <v>14400000</v>
      </c>
      <c r="H23" s="120" t="s">
        <v>17</v>
      </c>
      <c r="I23" s="20"/>
      <c r="J23" s="20"/>
      <c r="K23" s="2"/>
      <c r="L23" s="20"/>
      <c r="M23" s="20"/>
      <c r="N23" s="20">
        <f t="shared" si="0"/>
        <v>900000</v>
      </c>
      <c r="O23" s="332" t="s">
        <v>152</v>
      </c>
    </row>
    <row r="24" spans="1:15" hidden="1" x14ac:dyDescent="0.25">
      <c r="A24" s="146">
        <f t="shared" si="1"/>
        <v>15</v>
      </c>
      <c r="B24" s="206" t="s">
        <v>146</v>
      </c>
      <c r="C24" s="2" t="s">
        <v>21</v>
      </c>
      <c r="D24" s="24">
        <v>43942</v>
      </c>
      <c r="E24" s="24">
        <v>43944</v>
      </c>
      <c r="F24" s="450">
        <v>12650000</v>
      </c>
      <c r="G24" s="20">
        <v>13425000</v>
      </c>
      <c r="H24" s="120" t="s">
        <v>17</v>
      </c>
      <c r="I24" s="20"/>
      <c r="J24" s="20"/>
      <c r="K24" s="2"/>
      <c r="L24" s="20"/>
      <c r="M24" s="20"/>
      <c r="N24" s="20">
        <f t="shared" si="0"/>
        <v>775000</v>
      </c>
      <c r="O24" s="332" t="s">
        <v>152</v>
      </c>
    </row>
    <row r="25" spans="1:15" hidden="1" x14ac:dyDescent="0.25">
      <c r="A25" s="146">
        <f t="shared" si="1"/>
        <v>16</v>
      </c>
      <c r="B25" s="206" t="s">
        <v>146</v>
      </c>
      <c r="C25" s="2" t="s">
        <v>20</v>
      </c>
      <c r="D25" s="24">
        <v>43942</v>
      </c>
      <c r="E25" s="24">
        <v>43948</v>
      </c>
      <c r="F25" s="450">
        <v>12650000</v>
      </c>
      <c r="G25" s="20">
        <v>13225000</v>
      </c>
      <c r="H25" s="120" t="s">
        <v>17</v>
      </c>
      <c r="I25" s="20"/>
      <c r="J25" s="20"/>
      <c r="K25" s="2"/>
      <c r="L25" s="20"/>
      <c r="M25" s="20"/>
      <c r="N25" s="20">
        <f t="shared" ref="N25:N30" si="2">G25-F25</f>
        <v>575000</v>
      </c>
      <c r="O25" s="333" t="s">
        <v>162</v>
      </c>
    </row>
    <row r="26" spans="1:15" hidden="1" x14ac:dyDescent="0.25">
      <c r="A26" s="146">
        <f t="shared" si="1"/>
        <v>17</v>
      </c>
      <c r="B26" s="206" t="s">
        <v>147</v>
      </c>
      <c r="C26" s="2" t="s">
        <v>22</v>
      </c>
      <c r="D26" s="24">
        <v>43942</v>
      </c>
      <c r="E26" s="24">
        <v>43947</v>
      </c>
      <c r="F26" s="450">
        <v>14950000</v>
      </c>
      <c r="G26" s="20">
        <v>16650000</v>
      </c>
      <c r="H26" s="120" t="s">
        <v>17</v>
      </c>
      <c r="I26" s="20"/>
      <c r="J26" s="20"/>
      <c r="K26" s="2"/>
      <c r="L26" s="20"/>
      <c r="M26" s="20"/>
      <c r="N26" s="20">
        <f t="shared" si="2"/>
        <v>1700000</v>
      </c>
      <c r="O26" s="333" t="s">
        <v>162</v>
      </c>
    </row>
    <row r="27" spans="1:15" hidden="1" x14ac:dyDescent="0.25">
      <c r="A27" s="146">
        <f t="shared" si="1"/>
        <v>18</v>
      </c>
      <c r="B27" s="206" t="s">
        <v>150</v>
      </c>
      <c r="C27" s="2" t="s">
        <v>90</v>
      </c>
      <c r="D27" s="24">
        <v>43943</v>
      </c>
      <c r="E27" s="24">
        <v>43944</v>
      </c>
      <c r="F27" s="450">
        <v>10000000</v>
      </c>
      <c r="G27" s="20">
        <v>11000000</v>
      </c>
      <c r="H27" s="120" t="s">
        <v>17</v>
      </c>
      <c r="I27" s="20"/>
      <c r="J27" s="20"/>
      <c r="K27" s="2"/>
      <c r="L27" s="20"/>
      <c r="M27" s="20"/>
      <c r="N27" s="20">
        <f t="shared" si="2"/>
        <v>1000000</v>
      </c>
      <c r="O27" s="332" t="s">
        <v>152</v>
      </c>
    </row>
    <row r="28" spans="1:15" hidden="1" x14ac:dyDescent="0.25">
      <c r="A28" s="146">
        <f t="shared" si="1"/>
        <v>19</v>
      </c>
      <c r="B28" s="206" t="s">
        <v>149</v>
      </c>
      <c r="C28" s="17" t="s">
        <v>115</v>
      </c>
      <c r="D28" s="24">
        <v>43945</v>
      </c>
      <c r="E28" s="439">
        <v>43949</v>
      </c>
      <c r="F28" s="450">
        <v>21600000</v>
      </c>
      <c r="G28" s="107">
        <v>24000000</v>
      </c>
      <c r="H28" s="120" t="s">
        <v>17</v>
      </c>
      <c r="I28" s="20"/>
      <c r="J28" s="20"/>
      <c r="K28" s="2"/>
      <c r="L28" s="20"/>
      <c r="M28" s="20"/>
      <c r="N28" s="20">
        <f t="shared" si="2"/>
        <v>2400000</v>
      </c>
      <c r="O28" s="333" t="s">
        <v>162</v>
      </c>
    </row>
    <row r="29" spans="1:15" hidden="1" x14ac:dyDescent="0.25">
      <c r="A29" s="146">
        <f t="shared" si="1"/>
        <v>20</v>
      </c>
      <c r="B29" s="206" t="s">
        <v>141</v>
      </c>
      <c r="C29" s="2" t="s">
        <v>116</v>
      </c>
      <c r="D29" s="24">
        <v>43945</v>
      </c>
      <c r="E29" s="439">
        <v>43949</v>
      </c>
      <c r="F29" s="450">
        <v>15000000</v>
      </c>
      <c r="G29" s="107">
        <v>17250000</v>
      </c>
      <c r="H29" s="120" t="s">
        <v>17</v>
      </c>
      <c r="I29" s="20"/>
      <c r="J29" s="20"/>
      <c r="K29" s="2"/>
      <c r="L29" s="20"/>
      <c r="M29" s="20"/>
      <c r="N29" s="20">
        <f t="shared" si="2"/>
        <v>2250000</v>
      </c>
      <c r="O29" s="333" t="s">
        <v>162</v>
      </c>
    </row>
    <row r="30" spans="1:15" hidden="1" x14ac:dyDescent="0.25">
      <c r="A30" s="146">
        <f t="shared" si="1"/>
        <v>21</v>
      </c>
      <c r="B30" s="206" t="s">
        <v>192</v>
      </c>
      <c r="C30" s="2" t="s">
        <v>194</v>
      </c>
      <c r="D30" s="24">
        <v>43948</v>
      </c>
      <c r="E30" s="439">
        <v>43949</v>
      </c>
      <c r="F30" s="450">
        <v>9000000</v>
      </c>
      <c r="G30" s="107">
        <v>10500000</v>
      </c>
      <c r="H30" s="120" t="s">
        <v>17</v>
      </c>
      <c r="I30" s="20"/>
      <c r="J30" s="20"/>
      <c r="K30" s="2"/>
      <c r="L30" s="20"/>
      <c r="M30" s="20"/>
      <c r="N30" s="20">
        <f t="shared" si="2"/>
        <v>1500000</v>
      </c>
      <c r="O30" s="333" t="s">
        <v>162</v>
      </c>
    </row>
    <row r="31" spans="1:15" hidden="1" x14ac:dyDescent="0.25">
      <c r="A31" s="146">
        <f t="shared" si="1"/>
        <v>22</v>
      </c>
      <c r="B31" s="206" t="s">
        <v>192</v>
      </c>
      <c r="C31" s="2" t="s">
        <v>195</v>
      </c>
      <c r="D31" s="24">
        <v>43948</v>
      </c>
      <c r="E31" s="439">
        <v>43953</v>
      </c>
      <c r="F31" s="450">
        <v>9000000</v>
      </c>
      <c r="G31" s="107">
        <v>10250000</v>
      </c>
      <c r="H31" s="120" t="s">
        <v>17</v>
      </c>
      <c r="I31" s="20"/>
      <c r="J31" s="20"/>
      <c r="K31" s="2"/>
      <c r="L31" s="20"/>
      <c r="M31" s="20"/>
      <c r="N31" s="20">
        <f t="shared" ref="N31:N36" si="3">G31-F31</f>
        <v>1250000</v>
      </c>
      <c r="O31" s="334" t="s">
        <v>243</v>
      </c>
    </row>
    <row r="32" spans="1:15" hidden="1" x14ac:dyDescent="0.25">
      <c r="A32" s="146">
        <f t="shared" si="1"/>
        <v>23</v>
      </c>
      <c r="B32" s="206" t="s">
        <v>192</v>
      </c>
      <c r="C32" s="2" t="s">
        <v>196</v>
      </c>
      <c r="D32" s="24">
        <v>43948</v>
      </c>
      <c r="E32" s="439">
        <v>43953</v>
      </c>
      <c r="F32" s="450">
        <v>9000000</v>
      </c>
      <c r="G32" s="107">
        <v>10550000</v>
      </c>
      <c r="H32" s="120" t="s">
        <v>17</v>
      </c>
      <c r="I32" s="20"/>
      <c r="J32" s="20"/>
      <c r="K32" s="2"/>
      <c r="L32" s="20"/>
      <c r="M32" s="20"/>
      <c r="N32" s="20">
        <f t="shared" si="3"/>
        <v>1550000</v>
      </c>
      <c r="O32" s="334" t="s">
        <v>243</v>
      </c>
    </row>
    <row r="33" spans="1:16" hidden="1" x14ac:dyDescent="0.25">
      <c r="A33" s="146">
        <f t="shared" si="1"/>
        <v>24</v>
      </c>
      <c r="B33" s="206" t="s">
        <v>192</v>
      </c>
      <c r="C33" s="2" t="s">
        <v>197</v>
      </c>
      <c r="D33" s="24">
        <v>43948</v>
      </c>
      <c r="E33" s="439">
        <v>43949</v>
      </c>
      <c r="F33" s="450">
        <v>9000000</v>
      </c>
      <c r="G33" s="107">
        <v>10250000</v>
      </c>
      <c r="H33" s="120" t="s">
        <v>17</v>
      </c>
      <c r="I33" s="20"/>
      <c r="J33" s="20"/>
      <c r="K33" s="2"/>
      <c r="L33" s="20"/>
      <c r="M33" s="20"/>
      <c r="N33" s="20">
        <f t="shared" si="3"/>
        <v>1250000</v>
      </c>
      <c r="O33" s="333" t="s">
        <v>162</v>
      </c>
    </row>
    <row r="34" spans="1:16" hidden="1" x14ac:dyDescent="0.25">
      <c r="A34" s="146">
        <f t="shared" si="1"/>
        <v>25</v>
      </c>
      <c r="B34" s="206" t="s">
        <v>150</v>
      </c>
      <c r="C34" s="2" t="s">
        <v>213</v>
      </c>
      <c r="D34" s="24">
        <v>43950</v>
      </c>
      <c r="E34" s="439">
        <v>43955</v>
      </c>
      <c r="F34" s="452">
        <v>13000000</v>
      </c>
      <c r="G34" s="107">
        <v>14000000</v>
      </c>
      <c r="H34" s="120" t="s">
        <v>17</v>
      </c>
      <c r="I34" s="20"/>
      <c r="J34" s="20"/>
      <c r="K34" s="2"/>
      <c r="L34" s="20"/>
      <c r="M34" s="20"/>
      <c r="N34" s="20">
        <f t="shared" si="3"/>
        <v>1000000</v>
      </c>
      <c r="O34" s="334" t="s">
        <v>243</v>
      </c>
    </row>
    <row r="35" spans="1:16" hidden="1" x14ac:dyDescent="0.25">
      <c r="A35" s="146">
        <f t="shared" si="1"/>
        <v>26</v>
      </c>
      <c r="B35" s="206" t="s">
        <v>214</v>
      </c>
      <c r="C35" s="2" t="s">
        <v>216</v>
      </c>
      <c r="D35" s="24">
        <v>43950</v>
      </c>
      <c r="E35" s="439">
        <v>43955</v>
      </c>
      <c r="F35" s="452">
        <v>10400000</v>
      </c>
      <c r="G35" s="107">
        <v>12000000</v>
      </c>
      <c r="H35" s="120" t="s">
        <v>17</v>
      </c>
      <c r="I35" s="20"/>
      <c r="J35" s="20"/>
      <c r="K35" s="2"/>
      <c r="L35" s="20"/>
      <c r="M35" s="20"/>
      <c r="N35" s="20">
        <f t="shared" si="3"/>
        <v>1600000</v>
      </c>
      <c r="O35" s="334" t="s">
        <v>243</v>
      </c>
    </row>
    <row r="36" spans="1:16" hidden="1" x14ac:dyDescent="0.25">
      <c r="A36" s="146">
        <f t="shared" si="1"/>
        <v>27</v>
      </c>
      <c r="B36" s="206" t="s">
        <v>214</v>
      </c>
      <c r="C36" s="2" t="s">
        <v>217</v>
      </c>
      <c r="D36" s="24">
        <v>43950</v>
      </c>
      <c r="E36" s="439">
        <v>43955</v>
      </c>
      <c r="F36" s="452">
        <v>10400000</v>
      </c>
      <c r="G36" s="107">
        <v>11350000</v>
      </c>
      <c r="H36" s="120" t="s">
        <v>17</v>
      </c>
      <c r="I36" s="20"/>
      <c r="J36" s="20"/>
      <c r="K36" s="2"/>
      <c r="L36" s="20"/>
      <c r="M36" s="20"/>
      <c r="N36" s="20">
        <f t="shared" si="3"/>
        <v>950000</v>
      </c>
      <c r="O36" s="334" t="s">
        <v>243</v>
      </c>
    </row>
    <row r="37" spans="1:16" hidden="1" x14ac:dyDescent="0.25">
      <c r="A37" s="146">
        <f t="shared" si="1"/>
        <v>28</v>
      </c>
      <c r="B37" s="206" t="s">
        <v>215</v>
      </c>
      <c r="C37" s="2" t="s">
        <v>218</v>
      </c>
      <c r="D37" s="24">
        <v>43950</v>
      </c>
      <c r="E37" s="439">
        <v>43962</v>
      </c>
      <c r="F37" s="452">
        <v>9400000</v>
      </c>
      <c r="G37" s="107">
        <v>9400000</v>
      </c>
      <c r="H37" s="120" t="s">
        <v>17</v>
      </c>
      <c r="I37" s="107"/>
      <c r="J37" s="85"/>
      <c r="K37" s="2"/>
      <c r="L37" s="20"/>
      <c r="M37" s="20"/>
      <c r="N37" s="20">
        <f t="shared" ref="N37:N46" si="4">G37-F37</f>
        <v>0</v>
      </c>
      <c r="O37" s="335" t="s">
        <v>318</v>
      </c>
    </row>
    <row r="38" spans="1:16" hidden="1" x14ac:dyDescent="0.25">
      <c r="A38" s="146">
        <f t="shared" si="1"/>
        <v>29</v>
      </c>
      <c r="B38" s="206" t="s">
        <v>215</v>
      </c>
      <c r="C38" s="2" t="s">
        <v>264</v>
      </c>
      <c r="D38" s="24">
        <v>43955</v>
      </c>
      <c r="E38" s="439">
        <v>43956</v>
      </c>
      <c r="F38" s="452">
        <v>8850000</v>
      </c>
      <c r="G38" s="107">
        <v>8850000</v>
      </c>
      <c r="H38" s="120" t="s">
        <v>17</v>
      </c>
      <c r="I38" s="20"/>
      <c r="J38" s="85"/>
      <c r="K38" s="2"/>
      <c r="L38" s="20"/>
      <c r="M38" s="20"/>
      <c r="N38" s="20">
        <f t="shared" si="4"/>
        <v>0</v>
      </c>
      <c r="O38" s="334" t="s">
        <v>243</v>
      </c>
      <c r="P38" s="154"/>
    </row>
    <row r="39" spans="1:16" hidden="1" x14ac:dyDescent="0.25">
      <c r="A39" s="146">
        <f t="shared" si="1"/>
        <v>30</v>
      </c>
      <c r="B39" s="206" t="s">
        <v>215</v>
      </c>
      <c r="C39" s="128" t="s">
        <v>265</v>
      </c>
      <c r="D39" s="439">
        <v>43955</v>
      </c>
      <c r="E39" s="439">
        <v>43956</v>
      </c>
      <c r="F39" s="452">
        <v>8800000</v>
      </c>
      <c r="G39" s="107">
        <v>9950000</v>
      </c>
      <c r="H39" s="120" t="s">
        <v>17</v>
      </c>
      <c r="I39" s="20"/>
      <c r="J39" s="20"/>
      <c r="K39" s="17"/>
      <c r="L39" s="157"/>
      <c r="M39" s="20"/>
      <c r="N39" s="20">
        <f t="shared" si="4"/>
        <v>1150000</v>
      </c>
      <c r="O39" s="334" t="s">
        <v>243</v>
      </c>
    </row>
    <row r="40" spans="1:16" hidden="1" x14ac:dyDescent="0.25">
      <c r="A40" s="146">
        <f t="shared" si="1"/>
        <v>31</v>
      </c>
      <c r="B40" s="206" t="s">
        <v>215</v>
      </c>
      <c r="C40" s="2" t="s">
        <v>266</v>
      </c>
      <c r="D40" s="24">
        <v>43955</v>
      </c>
      <c r="E40" s="439">
        <v>43956</v>
      </c>
      <c r="F40" s="452">
        <v>8850000</v>
      </c>
      <c r="G40" s="107">
        <v>10000000</v>
      </c>
      <c r="H40" s="120" t="s">
        <v>17</v>
      </c>
      <c r="I40" s="20"/>
      <c r="J40" s="20"/>
      <c r="K40" s="17"/>
      <c r="L40" s="157"/>
      <c r="M40" s="20"/>
      <c r="N40" s="20">
        <f t="shared" si="4"/>
        <v>1150000</v>
      </c>
      <c r="O40" s="334" t="s">
        <v>243</v>
      </c>
    </row>
    <row r="41" spans="1:16" hidden="1" x14ac:dyDescent="0.25">
      <c r="A41" s="146">
        <f t="shared" si="1"/>
        <v>32</v>
      </c>
      <c r="B41" s="206" t="s">
        <v>271</v>
      </c>
      <c r="C41" s="2" t="s">
        <v>273</v>
      </c>
      <c r="D41" s="24">
        <v>43956</v>
      </c>
      <c r="E41" s="439">
        <v>43968</v>
      </c>
      <c r="F41" s="452">
        <v>21500000</v>
      </c>
      <c r="G41" s="107">
        <v>22500000</v>
      </c>
      <c r="H41" s="120" t="s">
        <v>17</v>
      </c>
      <c r="I41" s="20"/>
      <c r="J41" s="20"/>
      <c r="K41" s="2"/>
      <c r="L41" s="20"/>
      <c r="M41" s="20"/>
      <c r="N41" s="20">
        <f t="shared" si="4"/>
        <v>1000000</v>
      </c>
      <c r="O41" s="336" t="s">
        <v>364</v>
      </c>
    </row>
    <row r="42" spans="1:16" hidden="1" x14ac:dyDescent="0.25">
      <c r="A42" s="146">
        <f t="shared" si="1"/>
        <v>33</v>
      </c>
      <c r="B42" s="206" t="s">
        <v>272</v>
      </c>
      <c r="C42" s="2" t="s">
        <v>274</v>
      </c>
      <c r="D42" s="24">
        <v>43956</v>
      </c>
      <c r="E42" s="439">
        <v>43968</v>
      </c>
      <c r="F42" s="452">
        <v>20750000</v>
      </c>
      <c r="G42" s="107">
        <v>22000000</v>
      </c>
      <c r="H42" s="120" t="s">
        <v>17</v>
      </c>
      <c r="I42" s="20"/>
      <c r="J42" s="20"/>
      <c r="K42" s="2"/>
      <c r="L42" s="20"/>
      <c r="M42" s="20"/>
      <c r="N42" s="20">
        <f t="shared" si="4"/>
        <v>1250000</v>
      </c>
      <c r="O42" s="336" t="s">
        <v>364</v>
      </c>
    </row>
    <row r="43" spans="1:16" hidden="1" x14ac:dyDescent="0.25">
      <c r="A43" s="146">
        <f t="shared" si="1"/>
        <v>34</v>
      </c>
      <c r="B43" s="206" t="s">
        <v>87</v>
      </c>
      <c r="C43" s="2" t="s">
        <v>275</v>
      </c>
      <c r="D43" s="24">
        <v>43956</v>
      </c>
      <c r="E43" s="439">
        <v>43963</v>
      </c>
      <c r="F43" s="452">
        <v>10700000</v>
      </c>
      <c r="G43" s="107">
        <v>11500000</v>
      </c>
      <c r="H43" s="120" t="s">
        <v>17</v>
      </c>
      <c r="I43" s="20"/>
      <c r="J43" s="20"/>
      <c r="K43" s="2"/>
      <c r="L43" s="20"/>
      <c r="M43" s="20"/>
      <c r="N43" s="20">
        <f t="shared" si="4"/>
        <v>800000</v>
      </c>
      <c r="O43" s="335" t="s">
        <v>318</v>
      </c>
    </row>
    <row r="44" spans="1:16" hidden="1" x14ac:dyDescent="0.25">
      <c r="A44" s="146">
        <f t="shared" si="1"/>
        <v>35</v>
      </c>
      <c r="B44" s="206" t="s">
        <v>87</v>
      </c>
      <c r="C44" s="2" t="s">
        <v>276</v>
      </c>
      <c r="D44" s="24">
        <v>43956</v>
      </c>
      <c r="E44" s="439">
        <v>43958</v>
      </c>
      <c r="F44" s="452">
        <v>10700000</v>
      </c>
      <c r="G44" s="107">
        <v>13500000</v>
      </c>
      <c r="H44" s="120" t="s">
        <v>17</v>
      </c>
      <c r="I44" s="20"/>
      <c r="J44" s="20"/>
      <c r="K44" s="2"/>
      <c r="L44" s="20"/>
      <c r="M44" s="20"/>
      <c r="N44" s="20">
        <f t="shared" si="4"/>
        <v>2800000</v>
      </c>
      <c r="O44" s="334" t="s">
        <v>243</v>
      </c>
    </row>
    <row r="45" spans="1:16" hidden="1" x14ac:dyDescent="0.25">
      <c r="A45" s="146">
        <f t="shared" si="1"/>
        <v>36</v>
      </c>
      <c r="B45" s="206" t="s">
        <v>271</v>
      </c>
      <c r="C45" s="139" t="s">
        <v>297</v>
      </c>
      <c r="D45" s="440">
        <v>43958</v>
      </c>
      <c r="E45" s="439">
        <v>43965</v>
      </c>
      <c r="F45" s="453">
        <v>15750000</v>
      </c>
      <c r="G45" s="138">
        <v>16500000</v>
      </c>
      <c r="H45" s="120" t="s">
        <v>17</v>
      </c>
      <c r="I45" s="94"/>
      <c r="J45" s="94"/>
      <c r="K45" s="3"/>
      <c r="L45" s="94"/>
      <c r="M45" s="94"/>
      <c r="N45" s="94">
        <f t="shared" si="4"/>
        <v>750000</v>
      </c>
      <c r="O45" s="335" t="s">
        <v>318</v>
      </c>
    </row>
    <row r="46" spans="1:16" hidden="1" x14ac:dyDescent="0.25">
      <c r="A46" s="426">
        <f t="shared" si="1"/>
        <v>37</v>
      </c>
      <c r="B46" s="432" t="s">
        <v>87</v>
      </c>
      <c r="C46" s="3" t="s">
        <v>303</v>
      </c>
      <c r="D46" s="440" t="s">
        <v>3040</v>
      </c>
      <c r="E46" s="439">
        <v>43963</v>
      </c>
      <c r="F46" s="454">
        <v>15250000</v>
      </c>
      <c r="G46" s="137">
        <v>16000000</v>
      </c>
      <c r="H46" s="120" t="s">
        <v>17</v>
      </c>
      <c r="I46" s="94"/>
      <c r="J46" s="94"/>
      <c r="K46" s="3"/>
      <c r="L46" s="94"/>
      <c r="M46" s="94"/>
      <c r="N46" s="101">
        <f t="shared" si="4"/>
        <v>750000</v>
      </c>
      <c r="O46" s="335" t="s">
        <v>318</v>
      </c>
    </row>
    <row r="47" spans="1:16" hidden="1" x14ac:dyDescent="0.25">
      <c r="A47" s="427">
        <f t="shared" si="1"/>
        <v>38</v>
      </c>
      <c r="B47" s="206" t="s">
        <v>305</v>
      </c>
      <c r="C47" s="2" t="s">
        <v>306</v>
      </c>
      <c r="D47" s="24">
        <v>43962</v>
      </c>
      <c r="E47" s="439">
        <v>43962</v>
      </c>
      <c r="F47" s="450">
        <v>16250000</v>
      </c>
      <c r="G47" s="107">
        <v>18000000</v>
      </c>
      <c r="H47" s="120" t="s">
        <v>17</v>
      </c>
      <c r="I47" s="20"/>
      <c r="J47" s="20"/>
      <c r="K47" s="2"/>
      <c r="L47" s="20"/>
      <c r="M47" s="20"/>
      <c r="N47" s="101">
        <f t="shared" ref="N47:N110" si="5">G47-F47</f>
        <v>1750000</v>
      </c>
      <c r="O47" s="335" t="s">
        <v>318</v>
      </c>
    </row>
    <row r="48" spans="1:16" hidden="1" x14ac:dyDescent="0.25">
      <c r="A48" s="427">
        <f t="shared" si="1"/>
        <v>39</v>
      </c>
      <c r="B48" s="206" t="s">
        <v>305</v>
      </c>
      <c r="C48" s="2" t="s">
        <v>307</v>
      </c>
      <c r="D48" s="24">
        <v>43962</v>
      </c>
      <c r="E48" s="439">
        <v>43990</v>
      </c>
      <c r="F48" s="450">
        <v>16000000</v>
      </c>
      <c r="G48" s="107">
        <v>17000000</v>
      </c>
      <c r="H48" s="161" t="s">
        <v>17</v>
      </c>
      <c r="I48" s="20"/>
      <c r="J48" s="20"/>
      <c r="K48" s="2"/>
      <c r="L48" s="20"/>
      <c r="M48" s="20"/>
      <c r="N48" s="101">
        <f t="shared" si="5"/>
        <v>1000000</v>
      </c>
      <c r="O48" s="337" t="s">
        <v>519</v>
      </c>
    </row>
    <row r="49" spans="1:16" hidden="1" x14ac:dyDescent="0.25">
      <c r="A49" s="427">
        <f t="shared" si="1"/>
        <v>40</v>
      </c>
      <c r="B49" s="206" t="s">
        <v>305</v>
      </c>
      <c r="C49" s="2" t="s">
        <v>308</v>
      </c>
      <c r="D49" s="24">
        <v>43962</v>
      </c>
      <c r="E49" s="439">
        <v>43962</v>
      </c>
      <c r="F49" s="450">
        <v>16250000</v>
      </c>
      <c r="G49" s="107">
        <v>17350000</v>
      </c>
      <c r="H49" s="120" t="s">
        <v>17</v>
      </c>
      <c r="I49" s="20"/>
      <c r="J49" s="20"/>
      <c r="K49" s="2"/>
      <c r="L49" s="20"/>
      <c r="M49" s="20"/>
      <c r="N49" s="101">
        <f t="shared" si="5"/>
        <v>1100000</v>
      </c>
      <c r="O49" s="335" t="s">
        <v>318</v>
      </c>
    </row>
    <row r="50" spans="1:16" hidden="1" x14ac:dyDescent="0.25">
      <c r="A50" s="427">
        <f t="shared" si="1"/>
        <v>41</v>
      </c>
      <c r="B50" s="206" t="s">
        <v>305</v>
      </c>
      <c r="C50" s="2" t="s">
        <v>354</v>
      </c>
      <c r="D50" s="24">
        <v>43962</v>
      </c>
      <c r="E50" s="439">
        <v>43963</v>
      </c>
      <c r="F50" s="450">
        <v>16250000</v>
      </c>
      <c r="G50" s="107">
        <v>18000000</v>
      </c>
      <c r="H50" s="120" t="s">
        <v>17</v>
      </c>
      <c r="I50" s="20"/>
      <c r="J50" s="20"/>
      <c r="K50" s="2"/>
      <c r="L50" s="20"/>
      <c r="M50" s="20"/>
      <c r="N50" s="101">
        <f t="shared" si="5"/>
        <v>1750000</v>
      </c>
      <c r="O50" s="335" t="s">
        <v>318</v>
      </c>
    </row>
    <row r="51" spans="1:16" hidden="1" x14ac:dyDescent="0.25">
      <c r="A51" s="427">
        <f t="shared" si="1"/>
        <v>42</v>
      </c>
      <c r="B51" s="206" t="s">
        <v>309</v>
      </c>
      <c r="C51" s="2" t="s">
        <v>363</v>
      </c>
      <c r="D51" s="24">
        <v>43962</v>
      </c>
      <c r="E51" s="439">
        <v>43968</v>
      </c>
      <c r="F51" s="450">
        <v>22000000</v>
      </c>
      <c r="G51" s="107">
        <v>23000000</v>
      </c>
      <c r="H51" s="120" t="s">
        <v>17</v>
      </c>
      <c r="I51" s="20"/>
      <c r="J51" s="20"/>
      <c r="K51" s="2"/>
      <c r="L51" s="20"/>
      <c r="M51" s="20"/>
      <c r="N51" s="101">
        <f t="shared" si="5"/>
        <v>1000000</v>
      </c>
      <c r="O51" s="336" t="s">
        <v>364</v>
      </c>
    </row>
    <row r="52" spans="1:16" hidden="1" x14ac:dyDescent="0.25">
      <c r="A52" s="427">
        <f t="shared" si="1"/>
        <v>43</v>
      </c>
      <c r="B52" s="206" t="s">
        <v>305</v>
      </c>
      <c r="C52" s="2" t="s">
        <v>310</v>
      </c>
      <c r="D52" s="24">
        <v>43962</v>
      </c>
      <c r="E52" s="439">
        <v>43962</v>
      </c>
      <c r="F52" s="450">
        <v>16250000</v>
      </c>
      <c r="G52" s="107">
        <v>17350000</v>
      </c>
      <c r="H52" s="120" t="s">
        <v>17</v>
      </c>
      <c r="I52" s="20"/>
      <c r="J52" s="20"/>
      <c r="K52" s="2"/>
      <c r="L52" s="20"/>
      <c r="M52" s="20"/>
      <c r="N52" s="101">
        <f t="shared" si="5"/>
        <v>1100000</v>
      </c>
      <c r="O52" s="335" t="s">
        <v>318</v>
      </c>
    </row>
    <row r="53" spans="1:16" hidden="1" x14ac:dyDescent="0.25">
      <c r="A53" s="427">
        <f t="shared" si="1"/>
        <v>44</v>
      </c>
      <c r="B53" s="206" t="s">
        <v>309</v>
      </c>
      <c r="C53" s="2" t="s">
        <v>311</v>
      </c>
      <c r="D53" s="24">
        <v>43962</v>
      </c>
      <c r="E53" s="439">
        <v>43962</v>
      </c>
      <c r="F53" s="450">
        <v>22000000</v>
      </c>
      <c r="G53" s="107">
        <v>22750000</v>
      </c>
      <c r="H53" s="120" t="s">
        <v>17</v>
      </c>
      <c r="I53" s="20"/>
      <c r="J53" s="20"/>
      <c r="K53" s="2"/>
      <c r="L53" s="20"/>
      <c r="M53" s="20"/>
      <c r="N53" s="101">
        <f t="shared" si="5"/>
        <v>750000</v>
      </c>
      <c r="O53" s="335" t="s">
        <v>318</v>
      </c>
    </row>
    <row r="54" spans="1:16" hidden="1" x14ac:dyDescent="0.25">
      <c r="A54" s="427">
        <f t="shared" si="1"/>
        <v>45</v>
      </c>
      <c r="B54" s="206" t="s">
        <v>305</v>
      </c>
      <c r="C54" s="2" t="s">
        <v>312</v>
      </c>
      <c r="D54" s="24">
        <v>43962</v>
      </c>
      <c r="E54" s="439">
        <v>43962</v>
      </c>
      <c r="F54" s="450">
        <v>16250000</v>
      </c>
      <c r="G54" s="107">
        <v>18000000</v>
      </c>
      <c r="H54" s="120" t="s">
        <v>17</v>
      </c>
      <c r="I54" s="20"/>
      <c r="J54" s="20"/>
      <c r="K54" s="2"/>
      <c r="L54" s="20"/>
      <c r="M54" s="20"/>
      <c r="N54" s="101">
        <f t="shared" si="5"/>
        <v>1750000</v>
      </c>
      <c r="O54" s="335" t="s">
        <v>318</v>
      </c>
    </row>
    <row r="55" spans="1:16" hidden="1" x14ac:dyDescent="0.25">
      <c r="A55" s="427">
        <f t="shared" si="1"/>
        <v>46</v>
      </c>
      <c r="B55" s="206" t="s">
        <v>305</v>
      </c>
      <c r="C55" s="2" t="s">
        <v>313</v>
      </c>
      <c r="D55" s="24">
        <v>43962</v>
      </c>
      <c r="E55" s="439">
        <v>43962</v>
      </c>
      <c r="F55" s="450">
        <v>16250000</v>
      </c>
      <c r="G55" s="107">
        <v>17350000</v>
      </c>
      <c r="H55" s="120" t="s">
        <v>17</v>
      </c>
      <c r="I55" s="20"/>
      <c r="J55" s="20"/>
      <c r="K55" s="2"/>
      <c r="L55" s="20"/>
      <c r="M55" s="20"/>
      <c r="N55" s="101">
        <f t="shared" si="5"/>
        <v>1100000</v>
      </c>
      <c r="O55" s="335" t="s">
        <v>318</v>
      </c>
    </row>
    <row r="56" spans="1:16" hidden="1" x14ac:dyDescent="0.25">
      <c r="A56" s="427">
        <f t="shared" si="1"/>
        <v>47</v>
      </c>
      <c r="B56" s="206" t="s">
        <v>309</v>
      </c>
      <c r="C56" s="3" t="s">
        <v>314</v>
      </c>
      <c r="D56" s="24">
        <v>43962</v>
      </c>
      <c r="E56" s="439">
        <v>43962</v>
      </c>
      <c r="F56" s="450">
        <v>22000000</v>
      </c>
      <c r="G56" s="142">
        <v>23000000</v>
      </c>
      <c r="H56" s="141" t="s">
        <v>304</v>
      </c>
      <c r="I56" s="94">
        <v>20500000</v>
      </c>
      <c r="J56" s="144">
        <f>G56-I56</f>
        <v>2500000</v>
      </c>
      <c r="K56" s="3" t="s">
        <v>3738</v>
      </c>
      <c r="L56" s="94"/>
      <c r="M56" s="94"/>
      <c r="N56" s="101">
        <f t="shared" si="5"/>
        <v>1000000</v>
      </c>
      <c r="O56" s="335" t="s">
        <v>318</v>
      </c>
      <c r="P56" t="s">
        <v>362</v>
      </c>
    </row>
    <row r="57" spans="1:16" hidden="1" x14ac:dyDescent="0.25">
      <c r="A57" s="146">
        <f t="shared" si="1"/>
        <v>48</v>
      </c>
      <c r="B57" s="206" t="s">
        <v>87</v>
      </c>
      <c r="C57" s="2" t="s">
        <v>315</v>
      </c>
      <c r="D57" s="24">
        <v>43962</v>
      </c>
      <c r="E57" s="439">
        <v>43967</v>
      </c>
      <c r="F57" s="450">
        <v>15250000</v>
      </c>
      <c r="G57" s="107">
        <v>16000000</v>
      </c>
      <c r="H57" s="120" t="s">
        <v>17</v>
      </c>
      <c r="I57" s="20"/>
      <c r="J57" s="85"/>
      <c r="K57" s="2"/>
      <c r="L57" s="20"/>
      <c r="M57" s="20"/>
      <c r="N57" s="20">
        <f t="shared" si="5"/>
        <v>750000</v>
      </c>
      <c r="O57" s="336" t="s">
        <v>364</v>
      </c>
    </row>
    <row r="58" spans="1:16" hidden="1" x14ac:dyDescent="0.25">
      <c r="A58" s="146">
        <f t="shared" si="1"/>
        <v>49</v>
      </c>
      <c r="B58" s="206" t="s">
        <v>305</v>
      </c>
      <c r="C58" s="2" t="s">
        <v>316</v>
      </c>
      <c r="D58" s="24">
        <v>43962</v>
      </c>
      <c r="E58" s="439">
        <v>43962</v>
      </c>
      <c r="F58" s="450">
        <v>16250000</v>
      </c>
      <c r="G58" s="107">
        <v>18000000</v>
      </c>
      <c r="H58" s="120" t="s">
        <v>17</v>
      </c>
      <c r="I58" s="20"/>
      <c r="J58" s="20"/>
      <c r="K58" s="2"/>
      <c r="L58" s="20"/>
      <c r="M58" s="20"/>
      <c r="N58" s="20">
        <f t="shared" si="5"/>
        <v>1750000</v>
      </c>
      <c r="O58" s="335" t="s">
        <v>318</v>
      </c>
    </row>
    <row r="59" spans="1:16" hidden="1" x14ac:dyDescent="0.25">
      <c r="A59" s="146">
        <f t="shared" si="1"/>
        <v>50</v>
      </c>
      <c r="B59" s="206" t="s">
        <v>305</v>
      </c>
      <c r="C59" s="2" t="s">
        <v>317</v>
      </c>
      <c r="D59" s="24">
        <v>43962</v>
      </c>
      <c r="E59" s="439">
        <v>43962</v>
      </c>
      <c r="F59" s="450">
        <v>16250000</v>
      </c>
      <c r="G59" s="107">
        <v>18500000</v>
      </c>
      <c r="H59" s="120" t="s">
        <v>17</v>
      </c>
      <c r="I59" s="20"/>
      <c r="J59" s="20"/>
      <c r="K59" s="2"/>
      <c r="L59" s="20"/>
      <c r="M59" s="20"/>
      <c r="N59" s="20">
        <f t="shared" si="5"/>
        <v>2250000</v>
      </c>
      <c r="O59" s="335" t="s">
        <v>318</v>
      </c>
    </row>
    <row r="60" spans="1:16" hidden="1" x14ac:dyDescent="0.25">
      <c r="A60" s="146">
        <f t="shared" si="1"/>
        <v>51</v>
      </c>
      <c r="B60" s="206" t="s">
        <v>305</v>
      </c>
      <c r="C60" s="128" t="s">
        <v>577</v>
      </c>
      <c r="D60" s="24">
        <v>43963</v>
      </c>
      <c r="E60" s="439">
        <v>43964</v>
      </c>
      <c r="F60" s="450">
        <v>17000000</v>
      </c>
      <c r="G60" s="107">
        <v>18250000</v>
      </c>
      <c r="H60" s="120" t="s">
        <v>17</v>
      </c>
      <c r="I60" s="20"/>
      <c r="J60" s="20"/>
      <c r="K60" s="2"/>
      <c r="L60" s="20"/>
      <c r="M60" s="20"/>
      <c r="N60" s="152">
        <f t="shared" si="5"/>
        <v>1250000</v>
      </c>
      <c r="O60" s="335" t="s">
        <v>318</v>
      </c>
    </row>
    <row r="61" spans="1:16" hidden="1" x14ac:dyDescent="0.25">
      <c r="A61" s="146">
        <f t="shared" si="1"/>
        <v>52</v>
      </c>
      <c r="B61" s="206" t="s">
        <v>305</v>
      </c>
      <c r="C61" s="128" t="s">
        <v>365</v>
      </c>
      <c r="D61" s="24">
        <v>43965</v>
      </c>
      <c r="E61" s="24">
        <v>43965</v>
      </c>
      <c r="F61" s="452">
        <v>16500000</v>
      </c>
      <c r="G61" s="20">
        <v>17500000</v>
      </c>
      <c r="H61" s="120" t="s">
        <v>17</v>
      </c>
      <c r="I61" s="20"/>
      <c r="J61" s="20"/>
      <c r="K61" s="2"/>
      <c r="L61" s="20"/>
      <c r="M61" s="20"/>
      <c r="N61" s="152">
        <f t="shared" si="5"/>
        <v>1000000</v>
      </c>
      <c r="O61" s="335" t="s">
        <v>318</v>
      </c>
    </row>
    <row r="62" spans="1:16" hidden="1" x14ac:dyDescent="0.25">
      <c r="A62" s="146">
        <f t="shared" si="1"/>
        <v>53</v>
      </c>
      <c r="B62" s="206" t="s">
        <v>305</v>
      </c>
      <c r="C62" s="128" t="s">
        <v>366</v>
      </c>
      <c r="D62" s="24">
        <v>43965</v>
      </c>
      <c r="E62" s="24">
        <v>43965</v>
      </c>
      <c r="F62" s="452">
        <v>16250000</v>
      </c>
      <c r="G62" s="20">
        <v>17500000</v>
      </c>
      <c r="H62" s="120" t="s">
        <v>17</v>
      </c>
      <c r="I62" s="20"/>
      <c r="J62" s="20"/>
      <c r="K62" s="2"/>
      <c r="L62" s="20"/>
      <c r="M62" s="20"/>
      <c r="N62" s="152">
        <f t="shared" si="5"/>
        <v>1250000</v>
      </c>
      <c r="O62" s="335" t="s">
        <v>318</v>
      </c>
    </row>
    <row r="63" spans="1:16" hidden="1" x14ac:dyDescent="0.25">
      <c r="A63" s="146">
        <f t="shared" si="1"/>
        <v>54</v>
      </c>
      <c r="B63" s="206" t="s">
        <v>305</v>
      </c>
      <c r="C63" s="128" t="s">
        <v>367</v>
      </c>
      <c r="D63" s="24">
        <v>43965</v>
      </c>
      <c r="E63" s="24">
        <v>43965</v>
      </c>
      <c r="F63" s="452">
        <v>16250000</v>
      </c>
      <c r="G63" s="20">
        <v>17500000</v>
      </c>
      <c r="H63" s="120" t="s">
        <v>17</v>
      </c>
      <c r="I63" s="20"/>
      <c r="J63" s="20"/>
      <c r="K63" s="2"/>
      <c r="L63" s="20"/>
      <c r="M63" s="20"/>
      <c r="N63" s="152">
        <f t="shared" si="5"/>
        <v>1250000</v>
      </c>
      <c r="O63" s="335" t="s">
        <v>318</v>
      </c>
    </row>
    <row r="64" spans="1:16" hidden="1" x14ac:dyDescent="0.25">
      <c r="A64" s="146">
        <f t="shared" si="1"/>
        <v>55</v>
      </c>
      <c r="B64" s="206" t="s">
        <v>87</v>
      </c>
      <c r="C64" s="128" t="s">
        <v>368</v>
      </c>
      <c r="D64" s="24">
        <v>43969</v>
      </c>
      <c r="E64" s="439">
        <v>43970</v>
      </c>
      <c r="F64" s="450">
        <v>10650000</v>
      </c>
      <c r="G64" s="107">
        <v>12250000</v>
      </c>
      <c r="H64" s="120" t="s">
        <v>17</v>
      </c>
      <c r="I64" s="20"/>
      <c r="J64" s="20"/>
      <c r="K64" s="2"/>
      <c r="L64" s="20"/>
      <c r="M64" s="20"/>
      <c r="N64" s="20">
        <f t="shared" si="5"/>
        <v>1600000</v>
      </c>
      <c r="O64" s="336" t="s">
        <v>364</v>
      </c>
    </row>
    <row r="65" spans="1:15" hidden="1" x14ac:dyDescent="0.25">
      <c r="A65" s="146">
        <f t="shared" si="1"/>
        <v>56</v>
      </c>
      <c r="B65" s="206" t="s">
        <v>87</v>
      </c>
      <c r="C65" s="128" t="s">
        <v>369</v>
      </c>
      <c r="D65" s="24">
        <v>43969</v>
      </c>
      <c r="E65" s="439">
        <v>43970</v>
      </c>
      <c r="F65" s="450">
        <v>10650000</v>
      </c>
      <c r="G65" s="107">
        <v>11250000</v>
      </c>
      <c r="H65" s="120" t="s">
        <v>17</v>
      </c>
      <c r="I65" s="20"/>
      <c r="J65" s="20"/>
      <c r="K65" s="2"/>
      <c r="L65" s="20"/>
      <c r="M65" s="20"/>
      <c r="N65" s="20">
        <f t="shared" si="5"/>
        <v>600000</v>
      </c>
      <c r="O65" s="336" t="s">
        <v>364</v>
      </c>
    </row>
    <row r="66" spans="1:15" hidden="1" x14ac:dyDescent="0.25">
      <c r="A66" s="146">
        <f t="shared" si="1"/>
        <v>57</v>
      </c>
      <c r="B66" s="206" t="s">
        <v>87</v>
      </c>
      <c r="C66" s="128" t="s">
        <v>370</v>
      </c>
      <c r="D66" s="24">
        <v>43969</v>
      </c>
      <c r="E66" s="439">
        <v>43969</v>
      </c>
      <c r="F66" s="450">
        <v>10650000</v>
      </c>
      <c r="G66" s="107">
        <v>11500000</v>
      </c>
      <c r="H66" s="120" t="s">
        <v>17</v>
      </c>
      <c r="I66" s="20"/>
      <c r="J66" s="20"/>
      <c r="K66" s="2"/>
      <c r="L66" s="20"/>
      <c r="M66" s="20"/>
      <c r="N66" s="20">
        <f t="shared" si="5"/>
        <v>850000</v>
      </c>
      <c r="O66" s="336" t="s">
        <v>364</v>
      </c>
    </row>
    <row r="67" spans="1:15" hidden="1" x14ac:dyDescent="0.25">
      <c r="A67" s="146">
        <f t="shared" si="1"/>
        <v>58</v>
      </c>
      <c r="B67" s="206" t="s">
        <v>87</v>
      </c>
      <c r="C67" s="128" t="s">
        <v>372</v>
      </c>
      <c r="D67" s="24">
        <v>43969</v>
      </c>
      <c r="E67" s="439">
        <v>44005</v>
      </c>
      <c r="F67" s="450">
        <v>10650000</v>
      </c>
      <c r="G67" s="107">
        <v>9000000</v>
      </c>
      <c r="H67" s="120" t="s">
        <v>17</v>
      </c>
      <c r="I67" s="20"/>
      <c r="J67" s="20"/>
      <c r="K67" s="2"/>
      <c r="L67" s="20"/>
      <c r="M67" s="20"/>
      <c r="N67" s="152">
        <f t="shared" si="5"/>
        <v>-1650000</v>
      </c>
      <c r="O67" s="338" t="s">
        <v>720</v>
      </c>
    </row>
    <row r="68" spans="1:15" hidden="1" x14ac:dyDescent="0.25">
      <c r="A68" s="146">
        <f t="shared" si="1"/>
        <v>59</v>
      </c>
      <c r="B68" s="206" t="s">
        <v>87</v>
      </c>
      <c r="C68" s="128" t="s">
        <v>371</v>
      </c>
      <c r="D68" s="24">
        <v>43969</v>
      </c>
      <c r="E68" s="439">
        <v>43973</v>
      </c>
      <c r="F68" s="450">
        <v>10650000</v>
      </c>
      <c r="G68" s="107">
        <v>11250000</v>
      </c>
      <c r="H68" s="120" t="s">
        <v>17</v>
      </c>
      <c r="I68" s="20"/>
      <c r="J68" s="20"/>
      <c r="K68" s="2"/>
      <c r="L68" s="20"/>
      <c r="M68" s="20"/>
      <c r="N68" s="20">
        <f t="shared" si="5"/>
        <v>600000</v>
      </c>
      <c r="O68" s="336" t="s">
        <v>364</v>
      </c>
    </row>
    <row r="69" spans="1:15" hidden="1" x14ac:dyDescent="0.25">
      <c r="A69" s="146">
        <f t="shared" si="1"/>
        <v>60</v>
      </c>
      <c r="B69" s="206" t="s">
        <v>87</v>
      </c>
      <c r="C69" s="128" t="s">
        <v>373</v>
      </c>
      <c r="D69" s="24">
        <v>43969</v>
      </c>
      <c r="E69" s="439">
        <v>43970</v>
      </c>
      <c r="F69" s="450">
        <v>10650000</v>
      </c>
      <c r="G69" s="107">
        <v>12100000</v>
      </c>
      <c r="H69" s="120" t="s">
        <v>17</v>
      </c>
      <c r="I69" s="20"/>
      <c r="J69" s="20"/>
      <c r="K69" s="2"/>
      <c r="L69" s="20"/>
      <c r="M69" s="20"/>
      <c r="N69" s="20">
        <f t="shared" si="5"/>
        <v>1450000</v>
      </c>
      <c r="O69" s="336" t="s">
        <v>364</v>
      </c>
    </row>
    <row r="70" spans="1:15" hidden="1" x14ac:dyDescent="0.25">
      <c r="A70" s="146">
        <f t="shared" si="1"/>
        <v>61</v>
      </c>
      <c r="B70" s="206" t="s">
        <v>87</v>
      </c>
      <c r="C70" s="128" t="s">
        <v>374</v>
      </c>
      <c r="D70" s="24">
        <v>43969</v>
      </c>
      <c r="E70" s="439">
        <v>43970</v>
      </c>
      <c r="F70" s="450">
        <v>10650000</v>
      </c>
      <c r="G70" s="107">
        <v>11000000</v>
      </c>
      <c r="H70" s="120" t="s">
        <v>17</v>
      </c>
      <c r="I70" s="20"/>
      <c r="J70" s="20"/>
      <c r="K70" s="2"/>
      <c r="L70" s="20"/>
      <c r="M70" s="20"/>
      <c r="N70" s="20">
        <f t="shared" si="5"/>
        <v>350000</v>
      </c>
      <c r="O70" s="336" t="s">
        <v>364</v>
      </c>
    </row>
    <row r="71" spans="1:15" hidden="1" x14ac:dyDescent="0.25">
      <c r="A71" s="146">
        <f t="shared" si="1"/>
        <v>62</v>
      </c>
      <c r="B71" s="206" t="s">
        <v>87</v>
      </c>
      <c r="C71" s="128" t="s">
        <v>375</v>
      </c>
      <c r="D71" s="24">
        <v>43969</v>
      </c>
      <c r="E71" s="439">
        <v>43970</v>
      </c>
      <c r="F71" s="450">
        <v>10650000</v>
      </c>
      <c r="G71" s="107">
        <v>11500000</v>
      </c>
      <c r="H71" s="120" t="s">
        <v>17</v>
      </c>
      <c r="I71" s="20"/>
      <c r="J71" s="20"/>
      <c r="K71" s="2"/>
      <c r="L71" s="20"/>
      <c r="M71" s="20"/>
      <c r="N71" s="20">
        <f t="shared" si="5"/>
        <v>850000</v>
      </c>
      <c r="O71" s="336" t="s">
        <v>364</v>
      </c>
    </row>
    <row r="72" spans="1:15" hidden="1" x14ac:dyDescent="0.25">
      <c r="A72" s="146">
        <f t="shared" si="1"/>
        <v>63</v>
      </c>
      <c r="B72" s="206" t="s">
        <v>87</v>
      </c>
      <c r="C72" s="128" t="s">
        <v>376</v>
      </c>
      <c r="D72" s="24">
        <v>43969</v>
      </c>
      <c r="E72" s="439">
        <v>43970</v>
      </c>
      <c r="F72" s="450">
        <v>10650000</v>
      </c>
      <c r="G72" s="107">
        <v>11235000</v>
      </c>
      <c r="H72" s="120" t="s">
        <v>17</v>
      </c>
      <c r="I72" s="20"/>
      <c r="J72" s="85"/>
      <c r="K72" s="2"/>
      <c r="L72" s="20"/>
      <c r="M72" s="20"/>
      <c r="N72" s="20">
        <f t="shared" si="5"/>
        <v>585000</v>
      </c>
      <c r="O72" s="336" t="s">
        <v>364</v>
      </c>
    </row>
    <row r="73" spans="1:15" hidden="1" x14ac:dyDescent="0.25">
      <c r="A73" s="146">
        <f t="shared" si="1"/>
        <v>64</v>
      </c>
      <c r="B73" s="206" t="s">
        <v>87</v>
      </c>
      <c r="C73" s="128" t="s">
        <v>377</v>
      </c>
      <c r="D73" s="24">
        <v>43969</v>
      </c>
      <c r="E73" s="439">
        <v>43972</v>
      </c>
      <c r="F73" s="450">
        <v>10650000</v>
      </c>
      <c r="G73" s="107">
        <v>12150000</v>
      </c>
      <c r="H73" s="120" t="s">
        <v>17</v>
      </c>
      <c r="I73" s="20"/>
      <c r="J73" s="20"/>
      <c r="K73" s="2"/>
      <c r="L73" s="20"/>
      <c r="M73" s="20"/>
      <c r="N73" s="20">
        <f t="shared" si="5"/>
        <v>1500000</v>
      </c>
      <c r="O73" s="336" t="s">
        <v>364</v>
      </c>
    </row>
    <row r="74" spans="1:15" hidden="1" x14ac:dyDescent="0.25">
      <c r="A74" s="146">
        <f t="shared" si="1"/>
        <v>65</v>
      </c>
      <c r="B74" s="206" t="s">
        <v>87</v>
      </c>
      <c r="C74" s="128" t="s">
        <v>378</v>
      </c>
      <c r="D74" s="24">
        <v>43969</v>
      </c>
      <c r="E74" s="11">
        <v>43978</v>
      </c>
      <c r="F74" s="450">
        <v>10650000</v>
      </c>
      <c r="G74" s="157">
        <v>10450000</v>
      </c>
      <c r="H74" s="120" t="s">
        <v>17</v>
      </c>
      <c r="I74" s="20"/>
      <c r="J74" s="85"/>
      <c r="K74" s="2"/>
      <c r="L74" s="20"/>
      <c r="M74" s="20"/>
      <c r="N74" s="20">
        <f t="shared" si="5"/>
        <v>-200000</v>
      </c>
      <c r="O74" s="339" t="s">
        <v>454</v>
      </c>
    </row>
    <row r="75" spans="1:15" hidden="1" x14ac:dyDescent="0.25">
      <c r="A75" s="146">
        <f t="shared" si="1"/>
        <v>66</v>
      </c>
      <c r="B75" s="206" t="s">
        <v>435</v>
      </c>
      <c r="C75" s="2" t="s">
        <v>441</v>
      </c>
      <c r="D75" s="24">
        <v>43974</v>
      </c>
      <c r="E75" s="444">
        <v>43980</v>
      </c>
      <c r="F75" s="450">
        <v>16000000</v>
      </c>
      <c r="G75" s="107">
        <v>17900000</v>
      </c>
      <c r="H75" s="120" t="s">
        <v>17</v>
      </c>
      <c r="I75" s="20"/>
      <c r="J75" s="20"/>
      <c r="K75" s="2"/>
      <c r="L75" s="20"/>
      <c r="M75" s="20"/>
      <c r="N75" s="20">
        <f t="shared" si="5"/>
        <v>1900000</v>
      </c>
      <c r="O75" s="339" t="s">
        <v>454</v>
      </c>
    </row>
    <row r="76" spans="1:15" hidden="1" x14ac:dyDescent="0.25">
      <c r="A76" s="146">
        <f t="shared" ref="A76:A140" si="6">A75+1</f>
        <v>67</v>
      </c>
      <c r="B76" s="206" t="s">
        <v>435</v>
      </c>
      <c r="C76" s="2" t="s">
        <v>442</v>
      </c>
      <c r="D76" s="24">
        <v>43974</v>
      </c>
      <c r="E76" s="439">
        <v>43980</v>
      </c>
      <c r="F76" s="450">
        <v>16000000</v>
      </c>
      <c r="G76" s="107">
        <v>17700000</v>
      </c>
      <c r="H76" s="120" t="s">
        <v>17</v>
      </c>
      <c r="I76" s="20"/>
      <c r="J76" s="85"/>
      <c r="K76" s="2"/>
      <c r="L76" s="20"/>
      <c r="M76" s="20"/>
      <c r="N76" s="20">
        <f t="shared" si="5"/>
        <v>1700000</v>
      </c>
      <c r="O76" s="339" t="s">
        <v>454</v>
      </c>
    </row>
    <row r="77" spans="1:15" hidden="1" x14ac:dyDescent="0.25">
      <c r="A77" s="146">
        <f t="shared" si="6"/>
        <v>68</v>
      </c>
      <c r="B77" s="206" t="s">
        <v>87</v>
      </c>
      <c r="C77" s="2" t="s">
        <v>437</v>
      </c>
      <c r="D77" s="24">
        <v>43974</v>
      </c>
      <c r="E77" s="24">
        <v>43975</v>
      </c>
      <c r="F77" s="450">
        <v>14000000</v>
      </c>
      <c r="G77" s="20">
        <v>14500000</v>
      </c>
      <c r="H77" s="120" t="s">
        <v>17</v>
      </c>
      <c r="I77" s="20"/>
      <c r="J77" s="20"/>
      <c r="K77" s="2"/>
      <c r="L77" s="20"/>
      <c r="M77" s="20"/>
      <c r="N77" s="20">
        <f t="shared" si="5"/>
        <v>500000</v>
      </c>
      <c r="O77" s="336" t="s">
        <v>364</v>
      </c>
    </row>
    <row r="78" spans="1:15" hidden="1" x14ac:dyDescent="0.25">
      <c r="A78" s="146">
        <f t="shared" si="6"/>
        <v>69</v>
      </c>
      <c r="B78" s="206" t="s">
        <v>87</v>
      </c>
      <c r="C78" s="2" t="s">
        <v>438</v>
      </c>
      <c r="D78" s="24">
        <v>43974</v>
      </c>
      <c r="E78" s="24">
        <v>43975</v>
      </c>
      <c r="F78" s="450">
        <v>10500000</v>
      </c>
      <c r="G78" s="20">
        <v>11500000</v>
      </c>
      <c r="H78" s="120" t="s">
        <v>17</v>
      </c>
      <c r="I78" s="20"/>
      <c r="J78" s="20"/>
      <c r="K78" s="2"/>
      <c r="L78" s="20"/>
      <c r="M78" s="20"/>
      <c r="N78" s="20">
        <f t="shared" si="5"/>
        <v>1000000</v>
      </c>
      <c r="O78" s="336" t="s">
        <v>364</v>
      </c>
    </row>
    <row r="79" spans="1:15" hidden="1" x14ac:dyDescent="0.25">
      <c r="A79" s="146">
        <f t="shared" si="6"/>
        <v>70</v>
      </c>
      <c r="B79" s="206" t="s">
        <v>87</v>
      </c>
      <c r="C79" s="2" t="s">
        <v>439</v>
      </c>
      <c r="D79" s="24">
        <v>43974</v>
      </c>
      <c r="E79" s="24">
        <v>43975</v>
      </c>
      <c r="F79" s="450">
        <v>10500000</v>
      </c>
      <c r="G79" s="20">
        <v>11250000</v>
      </c>
      <c r="H79" s="120" t="s">
        <v>17</v>
      </c>
      <c r="I79" s="20"/>
      <c r="J79" s="20"/>
      <c r="K79" s="2"/>
      <c r="L79" s="20"/>
      <c r="M79" s="20"/>
      <c r="N79" s="20">
        <f t="shared" si="5"/>
        <v>750000</v>
      </c>
      <c r="O79" s="336" t="s">
        <v>364</v>
      </c>
    </row>
    <row r="80" spans="1:15" hidden="1" x14ac:dyDescent="0.25">
      <c r="A80" s="146">
        <f t="shared" si="6"/>
        <v>71</v>
      </c>
      <c r="B80" s="206" t="s">
        <v>434</v>
      </c>
      <c r="C80" s="2" t="s">
        <v>440</v>
      </c>
      <c r="D80" s="24">
        <v>43974</v>
      </c>
      <c r="E80" s="24">
        <v>43975</v>
      </c>
      <c r="F80" s="450">
        <v>16000000</v>
      </c>
      <c r="G80" s="20">
        <v>17000000</v>
      </c>
      <c r="H80" s="120" t="s">
        <v>17</v>
      </c>
      <c r="I80" s="20"/>
      <c r="J80" s="20"/>
      <c r="K80" s="2"/>
      <c r="L80" s="20"/>
      <c r="M80" s="20"/>
      <c r="N80" s="20">
        <f t="shared" si="5"/>
        <v>1000000</v>
      </c>
      <c r="O80" s="336" t="s">
        <v>364</v>
      </c>
    </row>
    <row r="81" spans="1:15" hidden="1" x14ac:dyDescent="0.25">
      <c r="A81" s="146">
        <f t="shared" si="6"/>
        <v>72</v>
      </c>
      <c r="B81" s="206" t="s">
        <v>435</v>
      </c>
      <c r="C81" s="2" t="s">
        <v>444</v>
      </c>
      <c r="D81" s="24">
        <v>43974</v>
      </c>
      <c r="E81" s="439">
        <v>43995</v>
      </c>
      <c r="F81" s="450">
        <v>16000000</v>
      </c>
      <c r="G81" s="107">
        <v>17000000</v>
      </c>
      <c r="H81" s="161" t="s">
        <v>17</v>
      </c>
      <c r="I81" s="20"/>
      <c r="J81" s="20"/>
      <c r="K81" s="2"/>
      <c r="L81" s="20"/>
      <c r="M81" s="20"/>
      <c r="N81" s="20">
        <f t="shared" si="5"/>
        <v>1000000</v>
      </c>
      <c r="O81" s="340" t="s">
        <v>543</v>
      </c>
    </row>
    <row r="82" spans="1:15" hidden="1" x14ac:dyDescent="0.25">
      <c r="A82" s="146">
        <f t="shared" si="6"/>
        <v>73</v>
      </c>
      <c r="B82" s="206" t="s">
        <v>435</v>
      </c>
      <c r="C82" s="2" t="s">
        <v>443</v>
      </c>
      <c r="D82" s="24">
        <v>43974</v>
      </c>
      <c r="E82" s="439">
        <v>43981</v>
      </c>
      <c r="F82" s="450">
        <v>16000000</v>
      </c>
      <c r="G82" s="107">
        <v>17300000</v>
      </c>
      <c r="H82" s="120" t="s">
        <v>17</v>
      </c>
      <c r="I82" s="20"/>
      <c r="J82" s="20"/>
      <c r="K82" s="2"/>
      <c r="L82" s="20"/>
      <c r="M82" s="20"/>
      <c r="N82" s="20">
        <f t="shared" si="5"/>
        <v>1300000</v>
      </c>
      <c r="O82" s="339" t="s">
        <v>454</v>
      </c>
    </row>
    <row r="83" spans="1:15" hidden="1" x14ac:dyDescent="0.25">
      <c r="A83" s="146">
        <f t="shared" si="6"/>
        <v>74</v>
      </c>
      <c r="B83" s="206" t="s">
        <v>435</v>
      </c>
      <c r="C83" s="2" t="s">
        <v>445</v>
      </c>
      <c r="D83" s="24">
        <v>43974</v>
      </c>
      <c r="E83" s="439">
        <v>43990</v>
      </c>
      <c r="F83" s="450">
        <v>16000000</v>
      </c>
      <c r="G83" s="107">
        <v>17250000</v>
      </c>
      <c r="H83" s="161" t="s">
        <v>17</v>
      </c>
      <c r="I83" s="20"/>
      <c r="J83" s="85"/>
      <c r="K83" s="2"/>
      <c r="L83" s="20"/>
      <c r="M83" s="20"/>
      <c r="N83" s="20">
        <f t="shared" si="5"/>
        <v>1250000</v>
      </c>
      <c r="O83" s="340" t="s">
        <v>543</v>
      </c>
    </row>
    <row r="84" spans="1:15" hidden="1" x14ac:dyDescent="0.25">
      <c r="A84" s="146">
        <f t="shared" si="6"/>
        <v>75</v>
      </c>
      <c r="B84" s="206" t="s">
        <v>435</v>
      </c>
      <c r="C84" s="2" t="s">
        <v>446</v>
      </c>
      <c r="D84" s="24">
        <v>43974</v>
      </c>
      <c r="E84" s="439">
        <v>43984</v>
      </c>
      <c r="F84" s="450">
        <v>16000000</v>
      </c>
      <c r="G84" s="107">
        <v>17000000</v>
      </c>
      <c r="H84" s="161" t="s">
        <v>17</v>
      </c>
      <c r="I84" s="20"/>
      <c r="J84" s="20"/>
      <c r="K84" s="2"/>
      <c r="L84" s="20"/>
      <c r="M84" s="20"/>
      <c r="N84" s="20">
        <f t="shared" si="5"/>
        <v>1000000</v>
      </c>
      <c r="O84" s="337" t="s">
        <v>519</v>
      </c>
    </row>
    <row r="85" spans="1:15" hidden="1" x14ac:dyDescent="0.25">
      <c r="A85" s="146">
        <f t="shared" si="6"/>
        <v>76</v>
      </c>
      <c r="B85" s="432" t="s">
        <v>435</v>
      </c>
      <c r="C85" s="2" t="s">
        <v>447</v>
      </c>
      <c r="D85" s="24">
        <v>43974</v>
      </c>
      <c r="E85" s="439">
        <v>43979</v>
      </c>
      <c r="F85" s="450">
        <v>16000000</v>
      </c>
      <c r="G85" s="157">
        <v>17500000</v>
      </c>
      <c r="H85" s="120" t="s">
        <v>17</v>
      </c>
      <c r="I85" s="20"/>
      <c r="J85" s="20"/>
      <c r="K85" s="2"/>
      <c r="L85" s="20"/>
      <c r="M85" s="20"/>
      <c r="N85" s="20">
        <f t="shared" si="5"/>
        <v>1500000</v>
      </c>
      <c r="O85" s="339" t="s">
        <v>454</v>
      </c>
    </row>
    <row r="86" spans="1:15" hidden="1" x14ac:dyDescent="0.25">
      <c r="A86" s="146">
        <f t="shared" si="6"/>
        <v>77</v>
      </c>
      <c r="B86" s="206" t="s">
        <v>28</v>
      </c>
      <c r="C86" s="2" t="s">
        <v>448</v>
      </c>
      <c r="D86" s="24">
        <v>43974</v>
      </c>
      <c r="E86" s="439">
        <v>43976</v>
      </c>
      <c r="F86" s="450">
        <v>10500000</v>
      </c>
      <c r="G86" s="157">
        <v>11400000</v>
      </c>
      <c r="H86" s="120" t="s">
        <v>17</v>
      </c>
      <c r="I86" s="20"/>
      <c r="J86" s="20"/>
      <c r="K86" s="2"/>
      <c r="L86" s="20"/>
      <c r="M86" s="20"/>
      <c r="N86" s="20">
        <f t="shared" si="5"/>
        <v>900000</v>
      </c>
      <c r="O86" s="339" t="s">
        <v>454</v>
      </c>
    </row>
    <row r="87" spans="1:15" hidden="1" x14ac:dyDescent="0.25">
      <c r="A87" s="146">
        <f t="shared" si="6"/>
        <v>78</v>
      </c>
      <c r="B87" s="206" t="s">
        <v>224</v>
      </c>
      <c r="C87" s="2" t="s">
        <v>533</v>
      </c>
      <c r="D87" s="24">
        <v>43974</v>
      </c>
      <c r="E87" s="439">
        <v>43979</v>
      </c>
      <c r="F87" s="450">
        <v>8500000</v>
      </c>
      <c r="G87" s="107">
        <v>8500000</v>
      </c>
      <c r="H87" s="120" t="s">
        <v>17</v>
      </c>
      <c r="I87" s="20"/>
      <c r="J87" s="85"/>
      <c r="K87" s="2"/>
      <c r="L87" s="20"/>
      <c r="M87" s="20"/>
      <c r="N87" s="20">
        <f t="shared" si="5"/>
        <v>0</v>
      </c>
      <c r="O87" s="339" t="s">
        <v>454</v>
      </c>
    </row>
    <row r="88" spans="1:15" hidden="1" x14ac:dyDescent="0.25">
      <c r="A88" s="146">
        <f t="shared" si="6"/>
        <v>79</v>
      </c>
      <c r="B88" s="206" t="s">
        <v>436</v>
      </c>
      <c r="C88" s="2" t="s">
        <v>449</v>
      </c>
      <c r="D88" s="24">
        <v>43974</v>
      </c>
      <c r="E88" s="439">
        <v>43976</v>
      </c>
      <c r="F88" s="450">
        <v>17000000</v>
      </c>
      <c r="G88" s="107">
        <v>17900000</v>
      </c>
      <c r="H88" s="120" t="s">
        <v>17</v>
      </c>
      <c r="I88" s="20"/>
      <c r="J88" s="20"/>
      <c r="K88" s="2"/>
      <c r="L88" s="20"/>
      <c r="M88" s="20"/>
      <c r="N88" s="20">
        <f t="shared" si="5"/>
        <v>900000</v>
      </c>
      <c r="O88" s="339" t="s">
        <v>454</v>
      </c>
    </row>
    <row r="89" spans="1:15" hidden="1" x14ac:dyDescent="0.25">
      <c r="A89" s="146">
        <f t="shared" si="6"/>
        <v>80</v>
      </c>
      <c r="B89" s="206" t="s">
        <v>435</v>
      </c>
      <c r="C89" s="2" t="s">
        <v>455</v>
      </c>
      <c r="D89" s="24">
        <v>43974</v>
      </c>
      <c r="E89" s="24">
        <v>43975</v>
      </c>
      <c r="F89" s="450">
        <v>16250000</v>
      </c>
      <c r="G89" s="107">
        <v>17000000</v>
      </c>
      <c r="H89" s="120" t="s">
        <v>17</v>
      </c>
      <c r="I89" s="20"/>
      <c r="J89" s="20"/>
      <c r="K89" s="2"/>
      <c r="L89" s="20"/>
      <c r="M89" s="20"/>
      <c r="N89" s="20">
        <f>G89-F89</f>
        <v>750000</v>
      </c>
      <c r="O89" s="336" t="s">
        <v>364</v>
      </c>
    </row>
    <row r="90" spans="1:15" hidden="1" x14ac:dyDescent="0.25">
      <c r="A90" s="146">
        <f t="shared" si="6"/>
        <v>81</v>
      </c>
      <c r="B90" s="206" t="s">
        <v>435</v>
      </c>
      <c r="C90" s="2" t="s">
        <v>456</v>
      </c>
      <c r="D90" s="24">
        <v>43974</v>
      </c>
      <c r="E90" s="439">
        <v>43988</v>
      </c>
      <c r="F90" s="450">
        <v>16600000</v>
      </c>
      <c r="G90" s="107">
        <v>18500000</v>
      </c>
      <c r="H90" s="161" t="s">
        <v>17</v>
      </c>
      <c r="I90" s="20"/>
      <c r="J90" s="85"/>
      <c r="K90" s="2"/>
      <c r="L90" s="20"/>
      <c r="M90" s="20"/>
      <c r="N90" s="20">
        <f t="shared" si="5"/>
        <v>1900000</v>
      </c>
      <c r="O90" s="337" t="s">
        <v>519</v>
      </c>
    </row>
    <row r="91" spans="1:15" hidden="1" x14ac:dyDescent="0.25">
      <c r="A91" s="146">
        <f t="shared" si="6"/>
        <v>82</v>
      </c>
      <c r="B91" s="206" t="s">
        <v>435</v>
      </c>
      <c r="C91" s="2" t="s">
        <v>457</v>
      </c>
      <c r="D91" s="24">
        <v>43974</v>
      </c>
      <c r="E91" s="439">
        <v>43976</v>
      </c>
      <c r="F91" s="450">
        <v>16600000</v>
      </c>
      <c r="G91" s="157">
        <v>18300000</v>
      </c>
      <c r="H91" s="120" t="s">
        <v>17</v>
      </c>
      <c r="I91" s="20"/>
      <c r="J91" s="20"/>
      <c r="K91" s="2"/>
      <c r="L91" s="20"/>
      <c r="M91" s="20"/>
      <c r="N91" s="152">
        <f t="shared" si="5"/>
        <v>1700000</v>
      </c>
      <c r="O91" s="339" t="s">
        <v>454</v>
      </c>
    </row>
    <row r="92" spans="1:15" hidden="1" x14ac:dyDescent="0.25">
      <c r="A92" s="146">
        <f t="shared" si="6"/>
        <v>83</v>
      </c>
      <c r="B92" s="206" t="s">
        <v>435</v>
      </c>
      <c r="C92" s="2" t="s">
        <v>458</v>
      </c>
      <c r="D92" s="24">
        <v>43974</v>
      </c>
      <c r="E92" s="439">
        <v>43986</v>
      </c>
      <c r="F92" s="450">
        <v>16600000</v>
      </c>
      <c r="G92" s="107">
        <v>16500000</v>
      </c>
      <c r="H92" s="161" t="s">
        <v>17</v>
      </c>
      <c r="I92" s="20"/>
      <c r="J92" s="107"/>
      <c r="K92" s="2"/>
      <c r="L92" s="20"/>
      <c r="M92" s="20"/>
      <c r="N92" s="152">
        <f t="shared" si="5"/>
        <v>-100000</v>
      </c>
      <c r="O92" s="337" t="s">
        <v>519</v>
      </c>
    </row>
    <row r="93" spans="1:15" hidden="1" x14ac:dyDescent="0.25">
      <c r="A93" s="146">
        <f t="shared" si="6"/>
        <v>84</v>
      </c>
      <c r="B93" s="206" t="s">
        <v>435</v>
      </c>
      <c r="C93" s="2" t="s">
        <v>459</v>
      </c>
      <c r="D93" s="24">
        <v>43974</v>
      </c>
      <c r="E93" s="439">
        <v>43983</v>
      </c>
      <c r="F93" s="450">
        <v>16600000</v>
      </c>
      <c r="G93" s="107">
        <v>18000000</v>
      </c>
      <c r="H93" s="161" t="s">
        <v>17</v>
      </c>
      <c r="I93" s="20"/>
      <c r="J93" s="107"/>
      <c r="K93" s="2"/>
      <c r="L93" s="20"/>
      <c r="M93" s="20"/>
      <c r="N93" s="152">
        <f t="shared" si="5"/>
        <v>1400000</v>
      </c>
      <c r="O93" s="337" t="s">
        <v>519</v>
      </c>
    </row>
    <row r="94" spans="1:15" hidden="1" x14ac:dyDescent="0.25">
      <c r="A94" s="427">
        <f t="shared" si="6"/>
        <v>85</v>
      </c>
      <c r="B94" s="432" t="s">
        <v>435</v>
      </c>
      <c r="C94" s="3" t="s">
        <v>460</v>
      </c>
      <c r="D94" s="440">
        <v>43974</v>
      </c>
      <c r="E94" s="441">
        <v>43976</v>
      </c>
      <c r="F94" s="455">
        <v>16600000</v>
      </c>
      <c r="G94" s="137">
        <v>17500000</v>
      </c>
      <c r="H94" s="161" t="s">
        <v>17</v>
      </c>
      <c r="I94" s="94"/>
      <c r="J94" s="94"/>
      <c r="K94" s="3"/>
      <c r="L94" s="94"/>
      <c r="M94" s="94"/>
      <c r="N94" s="101">
        <f t="shared" si="5"/>
        <v>900000</v>
      </c>
      <c r="O94" s="339" t="s">
        <v>454</v>
      </c>
    </row>
    <row r="95" spans="1:15" hidden="1" x14ac:dyDescent="0.25">
      <c r="A95" s="427">
        <f t="shared" si="6"/>
        <v>86</v>
      </c>
      <c r="B95" s="206" t="s">
        <v>520</v>
      </c>
      <c r="C95" s="2" t="s">
        <v>517</v>
      </c>
      <c r="D95" s="439">
        <v>43981</v>
      </c>
      <c r="E95" s="439">
        <v>43993</v>
      </c>
      <c r="F95" s="452">
        <v>14750000</v>
      </c>
      <c r="G95" s="107">
        <v>14750000</v>
      </c>
      <c r="H95" s="161" t="s">
        <v>17</v>
      </c>
      <c r="I95" s="107"/>
      <c r="J95" s="85"/>
      <c r="K95" s="57" t="s">
        <v>568</v>
      </c>
      <c r="L95" s="20">
        <v>-1500000</v>
      </c>
      <c r="M95" s="20"/>
      <c r="N95" s="152">
        <f t="shared" si="5"/>
        <v>0</v>
      </c>
      <c r="O95" s="340" t="s">
        <v>543</v>
      </c>
    </row>
    <row r="96" spans="1:15" hidden="1" x14ac:dyDescent="0.25">
      <c r="A96" s="427">
        <f t="shared" si="6"/>
        <v>87</v>
      </c>
      <c r="B96" s="206" t="s">
        <v>520</v>
      </c>
      <c r="C96" s="2" t="s">
        <v>521</v>
      </c>
      <c r="D96" s="439">
        <v>43981</v>
      </c>
      <c r="E96" s="439">
        <v>43983</v>
      </c>
      <c r="F96" s="452">
        <v>14750000</v>
      </c>
      <c r="G96" s="107">
        <v>15250000</v>
      </c>
      <c r="H96" s="161" t="s">
        <v>17</v>
      </c>
      <c r="I96" s="107"/>
      <c r="J96" s="20"/>
      <c r="K96" s="2"/>
      <c r="L96" s="20"/>
      <c r="M96" s="20"/>
      <c r="N96" s="101">
        <f t="shared" si="5"/>
        <v>500000</v>
      </c>
      <c r="O96" s="337" t="s">
        <v>519</v>
      </c>
    </row>
    <row r="97" spans="1:15" hidden="1" x14ac:dyDescent="0.25">
      <c r="A97" s="146">
        <f t="shared" si="6"/>
        <v>88</v>
      </c>
      <c r="B97" s="206" t="s">
        <v>520</v>
      </c>
      <c r="C97" s="2" t="s">
        <v>518</v>
      </c>
      <c r="D97" s="439">
        <v>43981</v>
      </c>
      <c r="E97" s="439">
        <v>44028</v>
      </c>
      <c r="F97" s="452">
        <v>14750000</v>
      </c>
      <c r="G97" s="107">
        <v>14000000</v>
      </c>
      <c r="H97" s="161" t="s">
        <v>17</v>
      </c>
      <c r="I97" s="20"/>
      <c r="J97" s="20"/>
      <c r="K97" s="2"/>
      <c r="L97" s="20"/>
      <c r="M97" s="20"/>
      <c r="N97" s="152">
        <f t="shared" si="5"/>
        <v>-750000</v>
      </c>
      <c r="O97" s="341" t="s">
        <v>951</v>
      </c>
    </row>
    <row r="98" spans="1:15" hidden="1" x14ac:dyDescent="0.25">
      <c r="A98" s="146">
        <f t="shared" si="6"/>
        <v>89</v>
      </c>
      <c r="B98" s="206" t="s">
        <v>87</v>
      </c>
      <c r="C98" s="2" t="s">
        <v>530</v>
      </c>
      <c r="D98" s="439">
        <v>43985</v>
      </c>
      <c r="E98" s="439">
        <v>43990</v>
      </c>
      <c r="F98" s="452">
        <v>14650000</v>
      </c>
      <c r="G98" s="107">
        <v>15250000</v>
      </c>
      <c r="H98" s="161" t="s">
        <v>17</v>
      </c>
      <c r="I98" s="20"/>
      <c r="J98" s="20"/>
      <c r="K98" s="2"/>
      <c r="L98" s="20"/>
      <c r="M98" s="20"/>
      <c r="N98" s="152">
        <f t="shared" si="5"/>
        <v>600000</v>
      </c>
      <c r="O98" s="340" t="s">
        <v>543</v>
      </c>
    </row>
    <row r="99" spans="1:15" hidden="1" x14ac:dyDescent="0.25">
      <c r="A99" s="146">
        <f t="shared" si="6"/>
        <v>90</v>
      </c>
      <c r="B99" s="206" t="s">
        <v>309</v>
      </c>
      <c r="C99" s="2" t="s">
        <v>534</v>
      </c>
      <c r="D99" s="439">
        <v>43988</v>
      </c>
      <c r="E99" s="439">
        <v>43990</v>
      </c>
      <c r="F99" s="452">
        <v>15500000</v>
      </c>
      <c r="G99" s="107">
        <v>16250000</v>
      </c>
      <c r="H99" s="161" t="s">
        <v>17</v>
      </c>
      <c r="I99" s="20"/>
      <c r="J99" s="20"/>
      <c r="K99" s="2"/>
      <c r="L99" s="20"/>
      <c r="M99" s="20"/>
      <c r="N99" s="152">
        <f t="shared" si="5"/>
        <v>750000</v>
      </c>
      <c r="O99" s="340" t="s">
        <v>543</v>
      </c>
    </row>
    <row r="100" spans="1:15" hidden="1" x14ac:dyDescent="0.25">
      <c r="A100" s="146">
        <f t="shared" si="6"/>
        <v>91</v>
      </c>
      <c r="B100" s="206" t="s">
        <v>309</v>
      </c>
      <c r="C100" s="2" t="s">
        <v>535</v>
      </c>
      <c r="D100" s="439">
        <v>43988</v>
      </c>
      <c r="E100" s="439">
        <v>43988</v>
      </c>
      <c r="F100" s="452">
        <v>21500000</v>
      </c>
      <c r="G100" s="107">
        <v>22800000</v>
      </c>
      <c r="H100" s="161" t="s">
        <v>17</v>
      </c>
      <c r="I100" s="20"/>
      <c r="J100" s="20"/>
      <c r="K100" s="2"/>
      <c r="L100" s="20"/>
      <c r="M100" s="20"/>
      <c r="N100" s="152">
        <f t="shared" si="5"/>
        <v>1300000</v>
      </c>
      <c r="O100" s="337" t="s">
        <v>519</v>
      </c>
    </row>
    <row r="101" spans="1:15" hidden="1" x14ac:dyDescent="0.25">
      <c r="A101" s="146">
        <f>A100+1</f>
        <v>92</v>
      </c>
      <c r="B101" s="206" t="s">
        <v>87</v>
      </c>
      <c r="C101" s="2" t="s">
        <v>536</v>
      </c>
      <c r="D101" s="439">
        <v>43988</v>
      </c>
      <c r="E101" s="439">
        <v>43988</v>
      </c>
      <c r="F101" s="452">
        <v>11750000</v>
      </c>
      <c r="G101" s="107">
        <v>13250000</v>
      </c>
      <c r="H101" s="161" t="s">
        <v>17</v>
      </c>
      <c r="I101" s="20"/>
      <c r="J101" s="20"/>
      <c r="K101" s="2"/>
      <c r="L101" s="20"/>
      <c r="M101" s="20"/>
      <c r="N101" s="152">
        <f t="shared" si="5"/>
        <v>1500000</v>
      </c>
      <c r="O101" s="337" t="s">
        <v>519</v>
      </c>
    </row>
    <row r="102" spans="1:15" hidden="1" x14ac:dyDescent="0.25">
      <c r="A102" s="146">
        <f t="shared" si="6"/>
        <v>93</v>
      </c>
      <c r="B102" s="206" t="s">
        <v>87</v>
      </c>
      <c r="C102" s="2" t="s">
        <v>537</v>
      </c>
      <c r="D102" s="439">
        <v>43988</v>
      </c>
      <c r="E102" s="439">
        <v>43990</v>
      </c>
      <c r="F102" s="452">
        <v>10500000</v>
      </c>
      <c r="G102" s="107">
        <v>11450000</v>
      </c>
      <c r="H102" s="161" t="s">
        <v>17</v>
      </c>
      <c r="I102" s="20"/>
      <c r="J102" s="20"/>
      <c r="K102" s="2"/>
      <c r="L102" s="20"/>
      <c r="M102" s="20"/>
      <c r="N102" s="152">
        <f t="shared" si="5"/>
        <v>950000</v>
      </c>
      <c r="O102" s="340" t="s">
        <v>543</v>
      </c>
    </row>
    <row r="103" spans="1:15" hidden="1" x14ac:dyDescent="0.25">
      <c r="A103" s="146">
        <f t="shared" si="6"/>
        <v>94</v>
      </c>
      <c r="B103" s="432" t="s">
        <v>87</v>
      </c>
      <c r="C103" s="3" t="s">
        <v>538</v>
      </c>
      <c r="D103" s="441">
        <v>43988</v>
      </c>
      <c r="E103" s="441">
        <v>43988</v>
      </c>
      <c r="F103" s="454">
        <v>10500000</v>
      </c>
      <c r="G103" s="137">
        <v>12000000</v>
      </c>
      <c r="H103" s="161" t="s">
        <v>17</v>
      </c>
      <c r="I103" s="94"/>
      <c r="J103" s="94"/>
      <c r="K103" s="3"/>
      <c r="L103" s="94"/>
      <c r="M103" s="94"/>
      <c r="N103" s="101">
        <f t="shared" si="5"/>
        <v>1500000</v>
      </c>
      <c r="O103" s="337" t="s">
        <v>519</v>
      </c>
    </row>
    <row r="104" spans="1:15" hidden="1" x14ac:dyDescent="0.25">
      <c r="A104" s="146">
        <f t="shared" si="6"/>
        <v>95</v>
      </c>
      <c r="B104" s="433" t="s">
        <v>570</v>
      </c>
      <c r="C104" s="257" t="s">
        <v>569</v>
      </c>
      <c r="D104" s="441">
        <v>43993</v>
      </c>
      <c r="E104" s="441">
        <v>44055</v>
      </c>
      <c r="F104" s="454">
        <v>16250000</v>
      </c>
      <c r="G104" s="137">
        <v>17000000</v>
      </c>
      <c r="H104" s="161" t="s">
        <v>17</v>
      </c>
      <c r="I104" s="137"/>
      <c r="J104" s="94"/>
      <c r="K104" s="3"/>
      <c r="L104" s="94"/>
      <c r="M104" s="94"/>
      <c r="N104" s="101">
        <f t="shared" si="5"/>
        <v>750000</v>
      </c>
      <c r="O104" s="340" t="s">
        <v>543</v>
      </c>
    </row>
    <row r="105" spans="1:15" hidden="1" x14ac:dyDescent="0.25">
      <c r="A105" s="146">
        <f t="shared" si="6"/>
        <v>96</v>
      </c>
      <c r="B105" s="432" t="s">
        <v>87</v>
      </c>
      <c r="C105" s="128" t="s">
        <v>763</v>
      </c>
      <c r="D105" s="439">
        <v>44009</v>
      </c>
      <c r="E105" s="439">
        <v>44016</v>
      </c>
      <c r="F105" s="452">
        <v>15500000</v>
      </c>
      <c r="G105" s="107">
        <v>16500000</v>
      </c>
      <c r="H105" s="161" t="s">
        <v>17</v>
      </c>
      <c r="I105" s="107"/>
      <c r="J105" s="20"/>
      <c r="K105" s="2"/>
      <c r="L105" s="20"/>
      <c r="M105" s="20"/>
      <c r="N105" s="101">
        <f t="shared" si="5"/>
        <v>1000000</v>
      </c>
      <c r="O105" s="274" t="s">
        <v>765</v>
      </c>
    </row>
    <row r="106" spans="1:15" hidden="1" x14ac:dyDescent="0.25">
      <c r="A106" s="427">
        <f t="shared" si="6"/>
        <v>97</v>
      </c>
      <c r="B106" s="432" t="s">
        <v>87</v>
      </c>
      <c r="C106" s="3" t="s">
        <v>764</v>
      </c>
      <c r="D106" s="441">
        <v>44009</v>
      </c>
      <c r="E106" s="441">
        <v>44040</v>
      </c>
      <c r="F106" s="454">
        <v>15000000</v>
      </c>
      <c r="G106" s="137">
        <v>16500000</v>
      </c>
      <c r="H106" s="161" t="s">
        <v>17</v>
      </c>
      <c r="I106" s="137"/>
      <c r="J106" s="94"/>
      <c r="K106" s="3"/>
      <c r="L106" s="94"/>
      <c r="M106" s="94"/>
      <c r="N106" s="101">
        <f t="shared" si="5"/>
        <v>1500000</v>
      </c>
      <c r="O106" s="304" t="s">
        <v>1064</v>
      </c>
    </row>
    <row r="107" spans="1:15" hidden="1" x14ac:dyDescent="0.25">
      <c r="A107" s="146">
        <f t="shared" si="6"/>
        <v>98</v>
      </c>
      <c r="B107" s="206" t="s">
        <v>767</v>
      </c>
      <c r="C107" s="2" t="s">
        <v>766</v>
      </c>
      <c r="D107" s="439">
        <v>44013</v>
      </c>
      <c r="E107" s="439">
        <v>44016</v>
      </c>
      <c r="F107" s="452">
        <v>15750000</v>
      </c>
      <c r="G107" s="107">
        <v>16000000</v>
      </c>
      <c r="H107" s="161" t="s">
        <v>17</v>
      </c>
      <c r="I107" s="107"/>
      <c r="J107" s="20"/>
      <c r="K107" s="2"/>
      <c r="L107" s="20"/>
      <c r="M107" s="20"/>
      <c r="N107" s="101">
        <f t="shared" si="5"/>
        <v>250000</v>
      </c>
      <c r="O107" s="274" t="s">
        <v>765</v>
      </c>
    </row>
    <row r="108" spans="1:15" hidden="1" x14ac:dyDescent="0.25">
      <c r="A108" s="427">
        <f t="shared" si="6"/>
        <v>99</v>
      </c>
      <c r="B108" s="206" t="s">
        <v>768</v>
      </c>
      <c r="C108" s="2" t="s">
        <v>769</v>
      </c>
      <c r="D108" s="439">
        <v>44013</v>
      </c>
      <c r="E108" s="439">
        <v>44016</v>
      </c>
      <c r="F108" s="452">
        <v>21000000</v>
      </c>
      <c r="G108" s="107">
        <v>22000000</v>
      </c>
      <c r="H108" s="161" t="s">
        <v>17</v>
      </c>
      <c r="I108" s="107"/>
      <c r="J108" s="20"/>
      <c r="K108" s="2"/>
      <c r="L108" s="20"/>
      <c r="M108" s="20"/>
      <c r="N108" s="101">
        <f t="shared" si="5"/>
        <v>1000000</v>
      </c>
      <c r="O108" s="274" t="s">
        <v>765</v>
      </c>
    </row>
    <row r="109" spans="1:15" hidden="1" x14ac:dyDescent="0.25">
      <c r="A109" s="427">
        <f t="shared" si="6"/>
        <v>100</v>
      </c>
      <c r="B109" s="432" t="s">
        <v>767</v>
      </c>
      <c r="C109" s="3" t="s">
        <v>770</v>
      </c>
      <c r="D109" s="441">
        <v>44013</v>
      </c>
      <c r="E109" s="441">
        <v>44017</v>
      </c>
      <c r="F109" s="454">
        <v>15750000</v>
      </c>
      <c r="G109" s="137">
        <v>16500000</v>
      </c>
      <c r="H109" s="161" t="s">
        <v>17</v>
      </c>
      <c r="I109" s="137"/>
      <c r="J109" s="94"/>
      <c r="K109" s="3"/>
      <c r="L109" s="94"/>
      <c r="M109" s="94"/>
      <c r="N109" s="101">
        <f t="shared" si="5"/>
        <v>750000</v>
      </c>
      <c r="O109" s="274" t="s">
        <v>765</v>
      </c>
    </row>
    <row r="110" spans="1:15" hidden="1" x14ac:dyDescent="0.25">
      <c r="A110" s="427">
        <f t="shared" si="6"/>
        <v>101</v>
      </c>
      <c r="B110" s="206" t="s">
        <v>833</v>
      </c>
      <c r="C110" s="2" t="s">
        <v>788</v>
      </c>
      <c r="D110" s="439">
        <v>44016</v>
      </c>
      <c r="E110" s="439">
        <v>44016</v>
      </c>
      <c r="F110" s="452">
        <v>14500000</v>
      </c>
      <c r="G110" s="107">
        <v>16000000</v>
      </c>
      <c r="H110" s="161" t="s">
        <v>17</v>
      </c>
      <c r="I110" s="107"/>
      <c r="J110" s="20"/>
      <c r="K110" s="2"/>
      <c r="L110" s="20"/>
      <c r="M110" s="20"/>
      <c r="N110" s="101">
        <f t="shared" si="5"/>
        <v>1500000</v>
      </c>
      <c r="O110" s="274" t="s">
        <v>765</v>
      </c>
    </row>
    <row r="111" spans="1:15" hidden="1" x14ac:dyDescent="0.25">
      <c r="A111" s="427">
        <f t="shared" si="6"/>
        <v>102</v>
      </c>
      <c r="B111" s="206" t="s">
        <v>87</v>
      </c>
      <c r="C111" s="2" t="s">
        <v>789</v>
      </c>
      <c r="D111" s="439">
        <v>44016</v>
      </c>
      <c r="E111" s="439">
        <v>44016</v>
      </c>
      <c r="F111" s="452">
        <v>10500000</v>
      </c>
      <c r="G111" s="107">
        <v>10500000</v>
      </c>
      <c r="H111" s="161" t="s">
        <v>17</v>
      </c>
      <c r="I111" s="107"/>
      <c r="J111" s="20"/>
      <c r="K111" s="2"/>
      <c r="L111" s="20"/>
      <c r="M111" s="20"/>
      <c r="N111" s="101">
        <f t="shared" ref="N111:N174" si="7">G111-F111</f>
        <v>0</v>
      </c>
      <c r="O111" s="274" t="s">
        <v>765</v>
      </c>
    </row>
    <row r="112" spans="1:15" hidden="1" x14ac:dyDescent="0.25">
      <c r="A112" s="427">
        <f t="shared" si="6"/>
        <v>103</v>
      </c>
      <c r="B112" s="206" t="s">
        <v>833</v>
      </c>
      <c r="C112" s="2" t="s">
        <v>790</v>
      </c>
      <c r="D112" s="439">
        <v>44016</v>
      </c>
      <c r="E112" s="439">
        <v>44016</v>
      </c>
      <c r="F112" s="452">
        <v>14500000</v>
      </c>
      <c r="G112" s="107">
        <v>15500000</v>
      </c>
      <c r="H112" s="161" t="s">
        <v>17</v>
      </c>
      <c r="I112" s="107"/>
      <c r="J112" s="20"/>
      <c r="K112" s="2"/>
      <c r="L112" s="20"/>
      <c r="M112" s="20"/>
      <c r="N112" s="101">
        <f t="shared" si="7"/>
        <v>1000000</v>
      </c>
      <c r="O112" s="274" t="s">
        <v>765</v>
      </c>
    </row>
    <row r="113" spans="1:15" hidden="1" x14ac:dyDescent="0.25">
      <c r="A113" s="427">
        <f t="shared" si="6"/>
        <v>104</v>
      </c>
      <c r="B113" s="206" t="s">
        <v>833</v>
      </c>
      <c r="C113" s="2" t="s">
        <v>791</v>
      </c>
      <c r="D113" s="439">
        <v>44016</v>
      </c>
      <c r="E113" s="441">
        <v>44050</v>
      </c>
      <c r="F113" s="452">
        <v>14500000</v>
      </c>
      <c r="G113" s="107">
        <v>15750000</v>
      </c>
      <c r="H113" s="161" t="s">
        <v>17</v>
      </c>
      <c r="I113" s="107"/>
      <c r="J113" s="20"/>
      <c r="K113" s="2"/>
      <c r="L113" s="20"/>
      <c r="M113" s="20"/>
      <c r="N113" s="101">
        <f t="shared" si="7"/>
        <v>1250000</v>
      </c>
      <c r="O113" s="308" t="s">
        <v>1101</v>
      </c>
    </row>
    <row r="114" spans="1:15" hidden="1" x14ac:dyDescent="0.25">
      <c r="A114" s="427">
        <f t="shared" si="6"/>
        <v>105</v>
      </c>
      <c r="B114" s="206" t="s">
        <v>831</v>
      </c>
      <c r="C114" s="2" t="s">
        <v>792</v>
      </c>
      <c r="D114" s="439">
        <v>44016</v>
      </c>
      <c r="E114" s="439">
        <v>44016</v>
      </c>
      <c r="F114" s="452">
        <v>19000000</v>
      </c>
      <c r="G114" s="107">
        <v>20000000</v>
      </c>
      <c r="H114" s="161" t="s">
        <v>17</v>
      </c>
      <c r="I114" s="107"/>
      <c r="J114" s="20"/>
      <c r="K114" s="2"/>
      <c r="L114" s="20"/>
      <c r="M114" s="20"/>
      <c r="N114" s="101">
        <f t="shared" si="7"/>
        <v>1000000</v>
      </c>
      <c r="O114" s="274" t="s">
        <v>765</v>
      </c>
    </row>
    <row r="115" spans="1:15" hidden="1" x14ac:dyDescent="0.25">
      <c r="A115" s="427">
        <f t="shared" si="6"/>
        <v>106</v>
      </c>
      <c r="B115" s="206" t="s">
        <v>833</v>
      </c>
      <c r="C115" s="2" t="s">
        <v>793</v>
      </c>
      <c r="D115" s="439">
        <v>44016</v>
      </c>
      <c r="E115" s="439">
        <v>44016</v>
      </c>
      <c r="F115" s="452">
        <v>14500000</v>
      </c>
      <c r="G115" s="107">
        <v>15500000</v>
      </c>
      <c r="H115" s="161" t="s">
        <v>17</v>
      </c>
      <c r="I115" s="107"/>
      <c r="J115" s="20"/>
      <c r="K115" s="2"/>
      <c r="L115" s="20"/>
      <c r="M115" s="20"/>
      <c r="N115" s="101">
        <f t="shared" si="7"/>
        <v>1000000</v>
      </c>
      <c r="O115" s="274" t="s">
        <v>765</v>
      </c>
    </row>
    <row r="116" spans="1:15" hidden="1" x14ac:dyDescent="0.25">
      <c r="A116" s="427">
        <f t="shared" si="6"/>
        <v>107</v>
      </c>
      <c r="B116" s="206" t="s">
        <v>831</v>
      </c>
      <c r="C116" s="348" t="s">
        <v>794</v>
      </c>
      <c r="D116" s="439">
        <v>44016</v>
      </c>
      <c r="E116" s="441">
        <v>44114</v>
      </c>
      <c r="F116" s="452">
        <v>19000000</v>
      </c>
      <c r="G116" s="107">
        <v>19750000</v>
      </c>
      <c r="H116" s="350" t="s">
        <v>17</v>
      </c>
      <c r="I116" s="107"/>
      <c r="J116" s="20"/>
      <c r="K116" s="2"/>
      <c r="L116" s="20"/>
      <c r="M116" s="20"/>
      <c r="N116" s="101">
        <f t="shared" si="7"/>
        <v>750000</v>
      </c>
      <c r="O116" s="375" t="s">
        <v>1524</v>
      </c>
    </row>
    <row r="117" spans="1:15" hidden="1" x14ac:dyDescent="0.25">
      <c r="A117" s="427">
        <f t="shared" si="6"/>
        <v>108</v>
      </c>
      <c r="B117" s="206" t="s">
        <v>833</v>
      </c>
      <c r="C117" s="2" t="s">
        <v>795</v>
      </c>
      <c r="D117" s="439">
        <v>44016</v>
      </c>
      <c r="E117" s="439">
        <v>44016</v>
      </c>
      <c r="F117" s="452">
        <v>14500000</v>
      </c>
      <c r="G117" s="107">
        <v>17000000</v>
      </c>
      <c r="H117" s="161" t="s">
        <v>17</v>
      </c>
      <c r="I117" s="107"/>
      <c r="J117" s="20"/>
      <c r="K117" s="2"/>
      <c r="L117" s="20"/>
      <c r="M117" s="20"/>
      <c r="N117" s="101">
        <f t="shared" si="7"/>
        <v>2500000</v>
      </c>
      <c r="O117" s="274" t="s">
        <v>765</v>
      </c>
    </row>
    <row r="118" spans="1:15" hidden="1" x14ac:dyDescent="0.25">
      <c r="A118" s="427">
        <f t="shared" si="6"/>
        <v>109</v>
      </c>
      <c r="B118" s="206" t="s">
        <v>833</v>
      </c>
      <c r="C118" s="2" t="s">
        <v>796</v>
      </c>
      <c r="D118" s="439">
        <v>44016</v>
      </c>
      <c r="E118" s="441">
        <v>44018</v>
      </c>
      <c r="F118" s="452">
        <v>14500000</v>
      </c>
      <c r="G118" s="107">
        <v>17250000</v>
      </c>
      <c r="H118" s="161" t="s">
        <v>17</v>
      </c>
      <c r="I118" s="107"/>
      <c r="J118" s="20"/>
      <c r="K118" s="2"/>
      <c r="L118" s="20"/>
      <c r="M118" s="20"/>
      <c r="N118" s="101">
        <f t="shared" si="7"/>
        <v>2750000</v>
      </c>
      <c r="O118" s="275" t="s">
        <v>835</v>
      </c>
    </row>
    <row r="119" spans="1:15" hidden="1" x14ac:dyDescent="0.25">
      <c r="A119" s="427">
        <f t="shared" si="6"/>
        <v>110</v>
      </c>
      <c r="B119" s="206" t="s">
        <v>87</v>
      </c>
      <c r="C119" s="2" t="s">
        <v>797</v>
      </c>
      <c r="D119" s="439">
        <v>44016</v>
      </c>
      <c r="E119" s="445">
        <v>44051</v>
      </c>
      <c r="F119" s="452">
        <f>10500000+325000</f>
        <v>10825000</v>
      </c>
      <c r="G119" s="157">
        <v>12650000</v>
      </c>
      <c r="H119" s="161" t="s">
        <v>17</v>
      </c>
      <c r="I119" s="107"/>
      <c r="J119" s="20"/>
      <c r="K119" s="2"/>
      <c r="L119" s="20"/>
      <c r="M119" s="20"/>
      <c r="N119" s="101">
        <f t="shared" si="7"/>
        <v>1825000</v>
      </c>
      <c r="O119" s="308" t="s">
        <v>1101</v>
      </c>
    </row>
    <row r="120" spans="1:15" hidden="1" x14ac:dyDescent="0.25">
      <c r="A120" s="427">
        <f t="shared" si="6"/>
        <v>111</v>
      </c>
      <c r="B120" s="206" t="s">
        <v>87</v>
      </c>
      <c r="C120" s="2" t="s">
        <v>798</v>
      </c>
      <c r="D120" s="439">
        <v>44016</v>
      </c>
      <c r="E120" s="441">
        <v>44030</v>
      </c>
      <c r="F120" s="452">
        <v>10500000</v>
      </c>
      <c r="G120" s="107">
        <v>11500000</v>
      </c>
      <c r="H120" s="161" t="s">
        <v>17</v>
      </c>
      <c r="I120" s="107"/>
      <c r="J120" s="20"/>
      <c r="K120" s="2"/>
      <c r="L120" s="20"/>
      <c r="M120" s="20"/>
      <c r="N120" s="101">
        <f t="shared" si="7"/>
        <v>1000000</v>
      </c>
      <c r="O120" s="330" t="s">
        <v>951</v>
      </c>
    </row>
    <row r="121" spans="1:15" hidden="1" x14ac:dyDescent="0.25">
      <c r="A121" s="427">
        <f t="shared" si="6"/>
        <v>112</v>
      </c>
      <c r="B121" s="206" t="s">
        <v>787</v>
      </c>
      <c r="C121" s="2" t="s">
        <v>799</v>
      </c>
      <c r="D121" s="439">
        <v>44016</v>
      </c>
      <c r="E121" s="439">
        <v>44016</v>
      </c>
      <c r="F121" s="452">
        <v>15500000</v>
      </c>
      <c r="G121" s="107">
        <v>17500000</v>
      </c>
      <c r="H121" s="161" t="s">
        <v>17</v>
      </c>
      <c r="I121" s="107"/>
      <c r="J121" s="85"/>
      <c r="K121" s="2"/>
      <c r="L121" s="20"/>
      <c r="M121" s="20"/>
      <c r="N121" s="101">
        <f t="shared" si="7"/>
        <v>2000000</v>
      </c>
      <c r="O121" s="274" t="s">
        <v>765</v>
      </c>
    </row>
    <row r="122" spans="1:15" hidden="1" x14ac:dyDescent="0.25">
      <c r="A122" s="427">
        <f t="shared" si="6"/>
        <v>113</v>
      </c>
      <c r="B122" s="206" t="s">
        <v>87</v>
      </c>
      <c r="C122" s="2" t="s">
        <v>800</v>
      </c>
      <c r="D122" s="439">
        <v>44016</v>
      </c>
      <c r="E122" s="441">
        <v>44031</v>
      </c>
      <c r="F122" s="452">
        <v>10500000</v>
      </c>
      <c r="G122" s="107">
        <v>11500000</v>
      </c>
      <c r="H122" s="161" t="s">
        <v>17</v>
      </c>
      <c r="I122" s="107"/>
      <c r="J122" s="85"/>
      <c r="K122" s="2"/>
      <c r="L122" s="20"/>
      <c r="M122" s="20"/>
      <c r="N122" s="101">
        <f t="shared" si="7"/>
        <v>1000000</v>
      </c>
      <c r="O122" s="280" t="s">
        <v>951</v>
      </c>
    </row>
    <row r="123" spans="1:15" hidden="1" x14ac:dyDescent="0.25">
      <c r="A123" s="427">
        <f t="shared" si="6"/>
        <v>114</v>
      </c>
      <c r="B123" s="206" t="s">
        <v>87</v>
      </c>
      <c r="C123" s="2" t="s">
        <v>1100</v>
      </c>
      <c r="D123" s="439">
        <v>44016</v>
      </c>
      <c r="E123" s="441">
        <v>44042</v>
      </c>
      <c r="F123" s="452">
        <v>10500000</v>
      </c>
      <c r="G123" s="107">
        <f>11690000</f>
        <v>11690000</v>
      </c>
      <c r="H123" s="161" t="s">
        <v>17</v>
      </c>
      <c r="I123" s="107"/>
      <c r="J123" s="20"/>
      <c r="K123" s="2"/>
      <c r="L123" s="20"/>
      <c r="M123" s="20"/>
      <c r="N123" s="101">
        <f t="shared" si="7"/>
        <v>1190000</v>
      </c>
      <c r="O123" s="304" t="s">
        <v>1064</v>
      </c>
    </row>
    <row r="124" spans="1:15" hidden="1" x14ac:dyDescent="0.25">
      <c r="A124" s="427">
        <f t="shared" si="6"/>
        <v>115</v>
      </c>
      <c r="B124" s="206" t="s">
        <v>87</v>
      </c>
      <c r="C124" s="2" t="s">
        <v>801</v>
      </c>
      <c r="D124" s="439">
        <v>44016</v>
      </c>
      <c r="E124" s="439">
        <v>44016</v>
      </c>
      <c r="F124" s="452">
        <v>10500000</v>
      </c>
      <c r="G124" s="107">
        <v>10500000</v>
      </c>
      <c r="H124" s="161" t="s">
        <v>17</v>
      </c>
      <c r="I124" s="107"/>
      <c r="J124" s="20"/>
      <c r="K124" s="2"/>
      <c r="L124" s="20"/>
      <c r="M124" s="20"/>
      <c r="N124" s="101">
        <f t="shared" si="7"/>
        <v>0</v>
      </c>
      <c r="O124" s="274" t="s">
        <v>765</v>
      </c>
    </row>
    <row r="125" spans="1:15" hidden="1" x14ac:dyDescent="0.25">
      <c r="A125" s="427">
        <f t="shared" si="6"/>
        <v>116</v>
      </c>
      <c r="B125" s="206" t="s">
        <v>87</v>
      </c>
      <c r="C125" s="2" t="s">
        <v>802</v>
      </c>
      <c r="D125" s="439">
        <v>44016</v>
      </c>
      <c r="E125" s="441">
        <v>44050</v>
      </c>
      <c r="F125" s="452">
        <f>10500000</f>
        <v>10500000</v>
      </c>
      <c r="G125" s="107">
        <v>11750000</v>
      </c>
      <c r="H125" s="161" t="s">
        <v>17</v>
      </c>
      <c r="I125" s="107"/>
      <c r="J125" s="20"/>
      <c r="K125" s="2"/>
      <c r="L125" s="20"/>
      <c r="M125" s="20"/>
      <c r="N125" s="101">
        <f t="shared" si="7"/>
        <v>1250000</v>
      </c>
      <c r="O125" s="308" t="s">
        <v>1101</v>
      </c>
    </row>
    <row r="126" spans="1:15" hidden="1" x14ac:dyDescent="0.25">
      <c r="A126" s="427">
        <f t="shared" si="6"/>
        <v>117</v>
      </c>
      <c r="B126" s="206" t="s">
        <v>87</v>
      </c>
      <c r="C126" s="2" t="s">
        <v>803</v>
      </c>
      <c r="D126" s="439">
        <v>44016</v>
      </c>
      <c r="E126" s="439">
        <v>44016</v>
      </c>
      <c r="F126" s="452">
        <v>10500000</v>
      </c>
      <c r="G126" s="107">
        <f>2250000*5</f>
        <v>11250000</v>
      </c>
      <c r="H126" s="161" t="s">
        <v>17</v>
      </c>
      <c r="I126" s="107"/>
      <c r="J126" s="20"/>
      <c r="K126" s="2"/>
      <c r="L126" s="20"/>
      <c r="M126" s="20"/>
      <c r="N126" s="101">
        <f t="shared" si="7"/>
        <v>750000</v>
      </c>
      <c r="O126" s="274" t="s">
        <v>765</v>
      </c>
    </row>
    <row r="127" spans="1:15" hidden="1" x14ac:dyDescent="0.25">
      <c r="A127" s="427">
        <f t="shared" si="6"/>
        <v>118</v>
      </c>
      <c r="B127" s="206" t="s">
        <v>87</v>
      </c>
      <c r="C127" s="2" t="s">
        <v>804</v>
      </c>
      <c r="D127" s="439">
        <v>44016</v>
      </c>
      <c r="E127" s="439">
        <v>44016</v>
      </c>
      <c r="F127" s="452">
        <v>10500000</v>
      </c>
      <c r="G127" s="107">
        <v>11250000</v>
      </c>
      <c r="H127" s="161" t="s">
        <v>17</v>
      </c>
      <c r="I127" s="107"/>
      <c r="J127" s="20"/>
      <c r="K127" s="2"/>
      <c r="L127" s="20"/>
      <c r="M127" s="20"/>
      <c r="N127" s="101">
        <f t="shared" si="7"/>
        <v>750000</v>
      </c>
      <c r="O127" s="274" t="s">
        <v>765</v>
      </c>
    </row>
    <row r="128" spans="1:15" hidden="1" x14ac:dyDescent="0.25">
      <c r="A128" s="427">
        <f t="shared" si="6"/>
        <v>119</v>
      </c>
      <c r="B128" s="206" t="s">
        <v>87</v>
      </c>
      <c r="C128" s="2" t="s">
        <v>805</v>
      </c>
      <c r="D128" s="439">
        <v>44016</v>
      </c>
      <c r="E128" s="439">
        <v>44016</v>
      </c>
      <c r="F128" s="452">
        <v>10500000</v>
      </c>
      <c r="G128" s="107">
        <v>12500000</v>
      </c>
      <c r="H128" s="161" t="s">
        <v>17</v>
      </c>
      <c r="I128" s="107"/>
      <c r="J128" s="20"/>
      <c r="K128" s="2"/>
      <c r="L128" s="20"/>
      <c r="M128" s="20"/>
      <c r="N128" s="101">
        <f t="shared" si="7"/>
        <v>2000000</v>
      </c>
      <c r="O128" s="274" t="s">
        <v>765</v>
      </c>
    </row>
    <row r="129" spans="1:15" hidden="1" x14ac:dyDescent="0.25">
      <c r="A129" s="427">
        <f t="shared" si="6"/>
        <v>120</v>
      </c>
      <c r="B129" s="206" t="s">
        <v>87</v>
      </c>
      <c r="C129" s="2" t="s">
        <v>806</v>
      </c>
      <c r="D129" s="439">
        <v>44016</v>
      </c>
      <c r="E129" s="439">
        <v>44016</v>
      </c>
      <c r="F129" s="452">
        <v>10500000</v>
      </c>
      <c r="G129" s="107">
        <v>10500000</v>
      </c>
      <c r="H129" s="161" t="s">
        <v>17</v>
      </c>
      <c r="I129" s="107"/>
      <c r="J129" s="20"/>
      <c r="K129" s="2"/>
      <c r="L129" s="20"/>
      <c r="M129" s="20"/>
      <c r="N129" s="101">
        <f t="shared" si="7"/>
        <v>0</v>
      </c>
      <c r="O129" s="274" t="s">
        <v>765</v>
      </c>
    </row>
    <row r="130" spans="1:15" hidden="1" x14ac:dyDescent="0.25">
      <c r="A130" s="427">
        <f t="shared" si="6"/>
        <v>121</v>
      </c>
      <c r="B130" s="206" t="s">
        <v>309</v>
      </c>
      <c r="C130" s="2" t="s">
        <v>807</v>
      </c>
      <c r="D130" s="439">
        <v>44016</v>
      </c>
      <c r="E130" s="439">
        <v>44016</v>
      </c>
      <c r="F130" s="452">
        <v>14750000</v>
      </c>
      <c r="G130" s="107">
        <v>15000000</v>
      </c>
      <c r="H130" s="161" t="s">
        <v>17</v>
      </c>
      <c r="I130" s="107"/>
      <c r="J130" s="20"/>
      <c r="K130" s="2"/>
      <c r="L130" s="20"/>
      <c r="M130" s="20"/>
      <c r="N130" s="101">
        <f t="shared" si="7"/>
        <v>250000</v>
      </c>
      <c r="O130" s="274" t="s">
        <v>765</v>
      </c>
    </row>
    <row r="131" spans="1:15" hidden="1" x14ac:dyDescent="0.25">
      <c r="A131" s="427">
        <f t="shared" si="6"/>
        <v>122</v>
      </c>
      <c r="B131" s="206" t="s">
        <v>87</v>
      </c>
      <c r="C131" s="2" t="s">
        <v>808</v>
      </c>
      <c r="D131" s="439">
        <v>44016</v>
      </c>
      <c r="E131" s="439">
        <v>44016</v>
      </c>
      <c r="F131" s="452">
        <v>10500000</v>
      </c>
      <c r="G131" s="107">
        <v>11250000</v>
      </c>
      <c r="H131" s="161" t="s">
        <v>17</v>
      </c>
      <c r="I131" s="107"/>
      <c r="J131" s="20"/>
      <c r="K131" s="2"/>
      <c r="L131" s="20"/>
      <c r="M131" s="20"/>
      <c r="N131" s="101">
        <f t="shared" si="7"/>
        <v>750000</v>
      </c>
      <c r="O131" s="274" t="s">
        <v>765</v>
      </c>
    </row>
    <row r="132" spans="1:15" hidden="1" x14ac:dyDescent="0.25">
      <c r="A132" s="427">
        <f t="shared" si="6"/>
        <v>123</v>
      </c>
      <c r="B132" s="206" t="s">
        <v>309</v>
      </c>
      <c r="C132" s="2" t="s">
        <v>834</v>
      </c>
      <c r="D132" s="439">
        <v>44016</v>
      </c>
      <c r="E132" s="441">
        <v>44017</v>
      </c>
      <c r="F132" s="452">
        <v>14750000</v>
      </c>
      <c r="G132" s="107">
        <v>16000000</v>
      </c>
      <c r="H132" s="161" t="s">
        <v>17</v>
      </c>
      <c r="I132" s="107"/>
      <c r="J132" s="20"/>
      <c r="K132" s="2"/>
      <c r="L132" s="20"/>
      <c r="M132" s="20"/>
      <c r="N132" s="101">
        <f t="shared" si="7"/>
        <v>1250000</v>
      </c>
      <c r="O132" s="274" t="s">
        <v>765</v>
      </c>
    </row>
    <row r="133" spans="1:15" hidden="1" x14ac:dyDescent="0.25">
      <c r="A133" s="427">
        <f t="shared" si="6"/>
        <v>124</v>
      </c>
      <c r="B133" s="206" t="s">
        <v>28</v>
      </c>
      <c r="C133" s="2" t="s">
        <v>809</v>
      </c>
      <c r="D133" s="439">
        <v>44016</v>
      </c>
      <c r="E133" s="441">
        <v>44030</v>
      </c>
      <c r="F133" s="452">
        <v>10500000</v>
      </c>
      <c r="G133" s="107">
        <v>11500000</v>
      </c>
      <c r="H133" s="161" t="s">
        <v>17</v>
      </c>
      <c r="I133" s="107"/>
      <c r="J133" s="20"/>
      <c r="K133" s="2"/>
      <c r="L133" s="20"/>
      <c r="M133" s="20"/>
      <c r="N133" s="101">
        <f t="shared" si="7"/>
        <v>1000000</v>
      </c>
      <c r="O133" s="280" t="s">
        <v>951</v>
      </c>
    </row>
    <row r="134" spans="1:15" hidden="1" x14ac:dyDescent="0.25">
      <c r="A134" s="427">
        <f t="shared" si="6"/>
        <v>125</v>
      </c>
      <c r="B134" s="206" t="s">
        <v>309</v>
      </c>
      <c r="C134" s="2" t="s">
        <v>810</v>
      </c>
      <c r="D134" s="439">
        <v>44016</v>
      </c>
      <c r="E134" s="439">
        <v>44016</v>
      </c>
      <c r="F134" s="452">
        <v>14750000</v>
      </c>
      <c r="G134" s="107">
        <v>15500000</v>
      </c>
      <c r="H134" s="161" t="s">
        <v>17</v>
      </c>
      <c r="I134" s="107"/>
      <c r="J134" s="20"/>
      <c r="K134" s="2"/>
      <c r="L134" s="20"/>
      <c r="M134" s="20"/>
      <c r="N134" s="101">
        <f t="shared" si="7"/>
        <v>750000</v>
      </c>
      <c r="O134" s="274" t="s">
        <v>765</v>
      </c>
    </row>
    <row r="135" spans="1:15" hidden="1" x14ac:dyDescent="0.25">
      <c r="A135" s="427">
        <f t="shared" si="6"/>
        <v>126</v>
      </c>
      <c r="B135" s="206" t="s">
        <v>570</v>
      </c>
      <c r="C135" s="2" t="s">
        <v>811</v>
      </c>
      <c r="D135" s="439">
        <v>44016</v>
      </c>
      <c r="E135" s="439">
        <v>44016</v>
      </c>
      <c r="F135" s="452">
        <v>10500000</v>
      </c>
      <c r="G135" s="107">
        <v>10500000</v>
      </c>
      <c r="H135" s="161" t="s">
        <v>17</v>
      </c>
      <c r="I135" s="107"/>
      <c r="J135" s="20"/>
      <c r="K135" s="2"/>
      <c r="L135" s="20"/>
      <c r="M135" s="20"/>
      <c r="N135" s="101">
        <f t="shared" si="7"/>
        <v>0</v>
      </c>
      <c r="O135" s="274" t="s">
        <v>765</v>
      </c>
    </row>
    <row r="136" spans="1:15" hidden="1" x14ac:dyDescent="0.25">
      <c r="A136" s="427">
        <f t="shared" si="6"/>
        <v>127</v>
      </c>
      <c r="B136" s="206" t="s">
        <v>87</v>
      </c>
      <c r="C136" s="2" t="s">
        <v>812</v>
      </c>
      <c r="D136" s="439">
        <v>44016</v>
      </c>
      <c r="E136" s="439">
        <v>44016</v>
      </c>
      <c r="F136" s="452">
        <v>10500000</v>
      </c>
      <c r="G136" s="107">
        <f>2700000*5</f>
        <v>13500000</v>
      </c>
      <c r="H136" s="161" t="s">
        <v>17</v>
      </c>
      <c r="I136" s="107"/>
      <c r="J136" s="20"/>
      <c r="K136" s="2"/>
      <c r="L136" s="20"/>
      <c r="M136" s="20"/>
      <c r="N136" s="101">
        <f t="shared" si="7"/>
        <v>3000000</v>
      </c>
      <c r="O136" s="274" t="s">
        <v>765</v>
      </c>
    </row>
    <row r="137" spans="1:15" hidden="1" x14ac:dyDescent="0.25">
      <c r="A137" s="427">
        <f t="shared" si="6"/>
        <v>128</v>
      </c>
      <c r="B137" s="206" t="s">
        <v>87</v>
      </c>
      <c r="C137" s="2" t="s">
        <v>813</v>
      </c>
      <c r="D137" s="439">
        <v>44016</v>
      </c>
      <c r="E137" s="441">
        <v>44039</v>
      </c>
      <c r="F137" s="452">
        <v>10500000</v>
      </c>
      <c r="G137" s="107">
        <v>11500000</v>
      </c>
      <c r="H137" s="161" t="s">
        <v>17</v>
      </c>
      <c r="I137" s="303"/>
      <c r="J137" s="20"/>
      <c r="K137" s="2"/>
      <c r="L137" s="20"/>
      <c r="M137" s="20"/>
      <c r="N137" s="101">
        <f t="shared" si="7"/>
        <v>1000000</v>
      </c>
      <c r="O137" s="304" t="s">
        <v>1064</v>
      </c>
    </row>
    <row r="138" spans="1:15" hidden="1" x14ac:dyDescent="0.25">
      <c r="A138" s="427">
        <f t="shared" si="6"/>
        <v>129</v>
      </c>
      <c r="B138" s="206" t="s">
        <v>28</v>
      </c>
      <c r="C138" s="2" t="s">
        <v>814</v>
      </c>
      <c r="D138" s="439">
        <v>44016</v>
      </c>
      <c r="E138" s="441">
        <v>44037</v>
      </c>
      <c r="F138" s="452">
        <v>10500000</v>
      </c>
      <c r="G138" s="107">
        <v>12000000</v>
      </c>
      <c r="H138" s="161" t="s">
        <v>17</v>
      </c>
      <c r="I138" s="107"/>
      <c r="J138" s="20"/>
      <c r="K138" s="2"/>
      <c r="L138" s="20"/>
      <c r="M138" s="20"/>
      <c r="N138" s="101">
        <f t="shared" si="7"/>
        <v>1500000</v>
      </c>
      <c r="O138" s="304" t="s">
        <v>1064</v>
      </c>
    </row>
    <row r="139" spans="1:15" hidden="1" x14ac:dyDescent="0.25">
      <c r="A139" s="427">
        <f t="shared" si="6"/>
        <v>130</v>
      </c>
      <c r="B139" s="206" t="s">
        <v>832</v>
      </c>
      <c r="C139" s="2" t="s">
        <v>815</v>
      </c>
      <c r="D139" s="439">
        <v>44016</v>
      </c>
      <c r="E139" s="439">
        <v>44016</v>
      </c>
      <c r="F139" s="452">
        <v>10500000</v>
      </c>
      <c r="G139" s="107">
        <v>10500000</v>
      </c>
      <c r="H139" s="161" t="s">
        <v>17</v>
      </c>
      <c r="I139" s="107"/>
      <c r="J139" s="20"/>
      <c r="K139" s="2"/>
      <c r="L139" s="20"/>
      <c r="M139" s="20"/>
      <c r="N139" s="101">
        <f t="shared" si="7"/>
        <v>0</v>
      </c>
      <c r="O139" s="274" t="s">
        <v>765</v>
      </c>
    </row>
    <row r="140" spans="1:15" hidden="1" x14ac:dyDescent="0.25">
      <c r="A140" s="426">
        <f t="shared" si="6"/>
        <v>131</v>
      </c>
      <c r="B140" s="434" t="s">
        <v>87</v>
      </c>
      <c r="C140" s="2" t="s">
        <v>825</v>
      </c>
      <c r="D140" s="439">
        <v>44016</v>
      </c>
      <c r="E140" s="441">
        <v>44055</v>
      </c>
      <c r="F140" s="454">
        <v>10500000</v>
      </c>
      <c r="G140" s="137">
        <v>10150000</v>
      </c>
      <c r="H140" s="313" t="s">
        <v>17</v>
      </c>
      <c r="I140" s="137"/>
      <c r="J140" s="144"/>
      <c r="K140" s="3"/>
      <c r="L140" s="94"/>
      <c r="M140" s="94"/>
      <c r="N140" s="101">
        <f t="shared" si="7"/>
        <v>-350000</v>
      </c>
      <c r="O140" s="327" t="s">
        <v>1145</v>
      </c>
    </row>
    <row r="141" spans="1:15" hidden="1" x14ac:dyDescent="0.25">
      <c r="A141" s="146">
        <f t="shared" ref="A141:A183" si="8">A140+1</f>
        <v>132</v>
      </c>
      <c r="B141" s="206" t="s">
        <v>832</v>
      </c>
      <c r="C141" s="2" t="s">
        <v>817</v>
      </c>
      <c r="D141" s="439">
        <v>44016</v>
      </c>
      <c r="E141" s="439">
        <v>44016</v>
      </c>
      <c r="F141" s="452">
        <v>10500000</v>
      </c>
      <c r="G141" s="107">
        <v>10500000</v>
      </c>
      <c r="H141" s="161" t="s">
        <v>17</v>
      </c>
      <c r="I141" s="107"/>
      <c r="J141" s="20"/>
      <c r="K141" s="2"/>
      <c r="L141" s="20"/>
      <c r="M141" s="20"/>
      <c r="N141" s="101">
        <f t="shared" si="7"/>
        <v>0</v>
      </c>
      <c r="O141" s="274" t="s">
        <v>765</v>
      </c>
    </row>
    <row r="142" spans="1:15" hidden="1" x14ac:dyDescent="0.25">
      <c r="A142" s="146">
        <f t="shared" si="8"/>
        <v>133</v>
      </c>
      <c r="B142" s="206" t="s">
        <v>28</v>
      </c>
      <c r="C142" s="2" t="s">
        <v>818</v>
      </c>
      <c r="D142" s="439">
        <v>44016</v>
      </c>
      <c r="E142" s="441">
        <v>44034</v>
      </c>
      <c r="F142" s="452">
        <v>10500000</v>
      </c>
      <c r="G142" s="107">
        <v>11500000</v>
      </c>
      <c r="H142" s="161" t="s">
        <v>17</v>
      </c>
      <c r="I142" s="107"/>
      <c r="J142" s="20"/>
      <c r="K142" s="2"/>
      <c r="L142" s="20"/>
      <c r="M142" s="20"/>
      <c r="N142" s="101">
        <f t="shared" si="7"/>
        <v>1000000</v>
      </c>
      <c r="O142" s="302" t="s">
        <v>1010</v>
      </c>
    </row>
    <row r="143" spans="1:15" hidden="1" x14ac:dyDescent="0.25">
      <c r="A143" s="146">
        <f t="shared" si="8"/>
        <v>134</v>
      </c>
      <c r="B143" s="206" t="s">
        <v>28</v>
      </c>
      <c r="C143" s="2" t="s">
        <v>819</v>
      </c>
      <c r="D143" s="439">
        <v>44016</v>
      </c>
      <c r="E143" s="441">
        <v>44041</v>
      </c>
      <c r="F143" s="452">
        <v>10500000</v>
      </c>
      <c r="G143" s="107">
        <v>11000000</v>
      </c>
      <c r="H143" s="161" t="s">
        <v>17</v>
      </c>
      <c r="I143" s="107"/>
      <c r="J143" s="20"/>
      <c r="K143" s="2"/>
      <c r="L143" s="20"/>
      <c r="M143" s="20"/>
      <c r="N143" s="101">
        <f t="shared" si="7"/>
        <v>500000</v>
      </c>
      <c r="O143" s="304" t="s">
        <v>1064</v>
      </c>
    </row>
    <row r="144" spans="1:15" hidden="1" x14ac:dyDescent="0.25">
      <c r="A144" s="146">
        <f t="shared" si="8"/>
        <v>135</v>
      </c>
      <c r="B144" s="206" t="s">
        <v>87</v>
      </c>
      <c r="C144" s="2" t="s">
        <v>820</v>
      </c>
      <c r="D144" s="439">
        <v>44016</v>
      </c>
      <c r="E144" s="439">
        <v>44016</v>
      </c>
      <c r="F144" s="452">
        <v>10500000</v>
      </c>
      <c r="G144" s="107">
        <v>10500000</v>
      </c>
      <c r="H144" s="161" t="s">
        <v>17</v>
      </c>
      <c r="I144" s="107"/>
      <c r="J144" s="20"/>
      <c r="K144" s="2"/>
      <c r="L144" s="20"/>
      <c r="M144" s="20"/>
      <c r="N144" s="101">
        <f t="shared" si="7"/>
        <v>0</v>
      </c>
      <c r="O144" s="274" t="s">
        <v>765</v>
      </c>
    </row>
    <row r="145" spans="1:15" hidden="1" x14ac:dyDescent="0.25">
      <c r="A145" s="146">
        <f t="shared" si="8"/>
        <v>136</v>
      </c>
      <c r="B145" s="206" t="s">
        <v>87</v>
      </c>
      <c r="C145" s="2" t="s">
        <v>821</v>
      </c>
      <c r="D145" s="439">
        <v>44016</v>
      </c>
      <c r="E145" s="439">
        <v>44016</v>
      </c>
      <c r="F145" s="452">
        <v>10500000</v>
      </c>
      <c r="G145" s="107">
        <v>11250000</v>
      </c>
      <c r="H145" s="161" t="s">
        <v>17</v>
      </c>
      <c r="I145" s="107"/>
      <c r="J145" s="20"/>
      <c r="K145" s="2"/>
      <c r="L145" s="20"/>
      <c r="M145" s="20"/>
      <c r="N145" s="101">
        <f t="shared" si="7"/>
        <v>750000</v>
      </c>
      <c r="O145" s="274" t="s">
        <v>765</v>
      </c>
    </row>
    <row r="146" spans="1:15" hidden="1" x14ac:dyDescent="0.25">
      <c r="A146" s="146">
        <f t="shared" si="8"/>
        <v>137</v>
      </c>
      <c r="B146" s="206" t="s">
        <v>309</v>
      </c>
      <c r="C146" s="2" t="s">
        <v>822</v>
      </c>
      <c r="D146" s="439">
        <v>44016</v>
      </c>
      <c r="E146" s="439">
        <v>44016</v>
      </c>
      <c r="F146" s="452">
        <v>14750000</v>
      </c>
      <c r="G146" s="107">
        <v>15000000</v>
      </c>
      <c r="H146" s="161" t="s">
        <v>17</v>
      </c>
      <c r="I146" s="107"/>
      <c r="J146" s="20"/>
      <c r="K146" s="2"/>
      <c r="L146" s="20"/>
      <c r="M146" s="20"/>
      <c r="N146" s="101">
        <f t="shared" si="7"/>
        <v>250000</v>
      </c>
      <c r="O146" s="274" t="s">
        <v>765</v>
      </c>
    </row>
    <row r="147" spans="1:15" hidden="1" x14ac:dyDescent="0.25">
      <c r="A147" s="146">
        <f t="shared" si="8"/>
        <v>138</v>
      </c>
      <c r="B147" s="206" t="s">
        <v>87</v>
      </c>
      <c r="C147" s="2" t="s">
        <v>823</v>
      </c>
      <c r="D147" s="439">
        <v>44016</v>
      </c>
      <c r="E147" s="439">
        <v>44016</v>
      </c>
      <c r="F147" s="452">
        <v>10500000</v>
      </c>
      <c r="G147" s="107">
        <v>16250000</v>
      </c>
      <c r="H147" s="161" t="s">
        <v>17</v>
      </c>
      <c r="I147" s="107"/>
      <c r="J147" s="20"/>
      <c r="K147" s="2"/>
      <c r="L147" s="20"/>
      <c r="M147" s="20"/>
      <c r="N147" s="101">
        <f t="shared" si="7"/>
        <v>5750000</v>
      </c>
      <c r="O147" s="274" t="s">
        <v>765</v>
      </c>
    </row>
    <row r="148" spans="1:15" hidden="1" x14ac:dyDescent="0.25">
      <c r="A148" s="146">
        <f t="shared" si="8"/>
        <v>139</v>
      </c>
      <c r="B148" s="206" t="s">
        <v>435</v>
      </c>
      <c r="C148" s="2" t="s">
        <v>824</v>
      </c>
      <c r="D148" s="439">
        <v>44016</v>
      </c>
      <c r="E148" s="439">
        <v>44016</v>
      </c>
      <c r="F148" s="452">
        <v>14500000</v>
      </c>
      <c r="G148" s="107">
        <v>16750000</v>
      </c>
      <c r="H148" s="161" t="s">
        <v>17</v>
      </c>
      <c r="I148" s="107"/>
      <c r="J148" s="20"/>
      <c r="K148" s="2"/>
      <c r="L148" s="20"/>
      <c r="M148" s="20"/>
      <c r="N148" s="101">
        <f t="shared" si="7"/>
        <v>2250000</v>
      </c>
      <c r="O148" s="274" t="s">
        <v>765</v>
      </c>
    </row>
    <row r="149" spans="1:15" hidden="1" x14ac:dyDescent="0.25">
      <c r="A149" s="146">
        <f t="shared" si="8"/>
        <v>140</v>
      </c>
      <c r="B149" s="206" t="s">
        <v>28</v>
      </c>
      <c r="C149" s="257" t="s">
        <v>816</v>
      </c>
      <c r="D149" s="439">
        <v>44016</v>
      </c>
      <c r="E149" s="441">
        <v>44039</v>
      </c>
      <c r="F149" s="452">
        <v>10500000</v>
      </c>
      <c r="G149" s="107">
        <v>11250000</v>
      </c>
      <c r="H149" s="161" t="s">
        <v>17</v>
      </c>
      <c r="I149" s="107"/>
      <c r="J149" s="20"/>
      <c r="K149" s="2"/>
      <c r="L149" s="20"/>
      <c r="M149" s="20"/>
      <c r="N149" s="101">
        <f t="shared" si="7"/>
        <v>750000</v>
      </c>
      <c r="O149" s="304" t="s">
        <v>1064</v>
      </c>
    </row>
    <row r="150" spans="1:15" hidden="1" x14ac:dyDescent="0.25">
      <c r="A150" s="146">
        <f t="shared" si="8"/>
        <v>141</v>
      </c>
      <c r="B150" s="206" t="s">
        <v>832</v>
      </c>
      <c r="C150" s="2" t="s">
        <v>826</v>
      </c>
      <c r="D150" s="439">
        <v>44016</v>
      </c>
      <c r="E150" s="439">
        <v>44016</v>
      </c>
      <c r="F150" s="452">
        <v>10500000</v>
      </c>
      <c r="G150" s="107">
        <v>10500000</v>
      </c>
      <c r="H150" s="161" t="s">
        <v>17</v>
      </c>
      <c r="I150" s="107"/>
      <c r="J150" s="20"/>
      <c r="K150" s="2"/>
      <c r="L150" s="20"/>
      <c r="M150" s="20"/>
      <c r="N150" s="101">
        <f t="shared" si="7"/>
        <v>0</v>
      </c>
      <c r="O150" s="274" t="s">
        <v>765</v>
      </c>
    </row>
    <row r="151" spans="1:15" hidden="1" x14ac:dyDescent="0.25">
      <c r="A151" s="146">
        <f t="shared" si="8"/>
        <v>142</v>
      </c>
      <c r="B151" s="206" t="s">
        <v>87</v>
      </c>
      <c r="C151" s="2" t="s">
        <v>827</v>
      </c>
      <c r="D151" s="439">
        <v>44016</v>
      </c>
      <c r="E151" s="439">
        <v>44016</v>
      </c>
      <c r="F151" s="452">
        <v>10500000</v>
      </c>
      <c r="G151" s="107">
        <v>16250000</v>
      </c>
      <c r="H151" s="161" t="s">
        <v>17</v>
      </c>
      <c r="I151" s="107"/>
      <c r="J151" s="20"/>
      <c r="K151" s="2"/>
      <c r="L151" s="20"/>
      <c r="M151" s="20"/>
      <c r="N151" s="101">
        <f t="shared" si="7"/>
        <v>5750000</v>
      </c>
      <c r="O151" s="274" t="s">
        <v>765</v>
      </c>
    </row>
    <row r="152" spans="1:15" hidden="1" x14ac:dyDescent="0.25">
      <c r="A152" s="146">
        <f t="shared" si="8"/>
        <v>143</v>
      </c>
      <c r="B152" s="206" t="s">
        <v>87</v>
      </c>
      <c r="C152" s="2" t="s">
        <v>828</v>
      </c>
      <c r="D152" s="439">
        <v>44016</v>
      </c>
      <c r="E152" s="439">
        <v>44016</v>
      </c>
      <c r="F152" s="452">
        <v>10500000</v>
      </c>
      <c r="G152" s="107">
        <v>10500000</v>
      </c>
      <c r="H152" s="161" t="s">
        <v>17</v>
      </c>
      <c r="I152" s="107"/>
      <c r="J152" s="20"/>
      <c r="K152" s="2"/>
      <c r="L152" s="20"/>
      <c r="M152" s="20"/>
      <c r="N152" s="101">
        <f t="shared" si="7"/>
        <v>0</v>
      </c>
      <c r="O152" s="274" t="s">
        <v>765</v>
      </c>
    </row>
    <row r="153" spans="1:15" hidden="1" x14ac:dyDescent="0.25">
      <c r="A153" s="146">
        <f t="shared" si="8"/>
        <v>144</v>
      </c>
      <c r="B153" s="206" t="s">
        <v>28</v>
      </c>
      <c r="C153" s="2" t="s">
        <v>829</v>
      </c>
      <c r="D153" s="439">
        <v>44016</v>
      </c>
      <c r="E153" s="441">
        <v>44037</v>
      </c>
      <c r="F153" s="452">
        <v>10500000</v>
      </c>
      <c r="G153" s="107">
        <v>11750000</v>
      </c>
      <c r="H153" s="161" t="s">
        <v>17</v>
      </c>
      <c r="I153" s="107"/>
      <c r="J153" s="305"/>
      <c r="K153" s="2"/>
      <c r="L153" s="20"/>
      <c r="M153" s="20"/>
      <c r="N153" s="152">
        <f t="shared" si="7"/>
        <v>1250000</v>
      </c>
      <c r="O153" s="304" t="s">
        <v>1064</v>
      </c>
    </row>
    <row r="154" spans="1:15" hidden="1" x14ac:dyDescent="0.25">
      <c r="A154" s="146">
        <f t="shared" si="8"/>
        <v>145</v>
      </c>
      <c r="B154" s="432" t="s">
        <v>435</v>
      </c>
      <c r="C154" s="3" t="s">
        <v>830</v>
      </c>
      <c r="D154" s="441">
        <v>44016</v>
      </c>
      <c r="E154" s="441">
        <v>44016</v>
      </c>
      <c r="F154" s="454">
        <v>14500000</v>
      </c>
      <c r="G154" s="137">
        <v>16250000</v>
      </c>
      <c r="H154" s="161" t="s">
        <v>17</v>
      </c>
      <c r="I154" s="137"/>
      <c r="J154" s="94"/>
      <c r="K154" s="3"/>
      <c r="L154" s="94"/>
      <c r="M154" s="94"/>
      <c r="N154" s="101">
        <f t="shared" si="7"/>
        <v>1750000</v>
      </c>
      <c r="O154" s="274" t="s">
        <v>765</v>
      </c>
    </row>
    <row r="155" spans="1:15" hidden="1" x14ac:dyDescent="0.25">
      <c r="A155" s="146">
        <f t="shared" si="8"/>
        <v>146</v>
      </c>
      <c r="B155" s="432" t="s">
        <v>434</v>
      </c>
      <c r="C155" s="2" t="s">
        <v>844</v>
      </c>
      <c r="D155" s="439">
        <v>44019</v>
      </c>
      <c r="E155" s="441">
        <v>44019</v>
      </c>
      <c r="F155" s="452">
        <v>15000000</v>
      </c>
      <c r="G155" s="107">
        <v>17500000</v>
      </c>
      <c r="H155" s="161" t="s">
        <v>17</v>
      </c>
      <c r="I155" s="107"/>
      <c r="J155" s="85"/>
      <c r="K155" s="2"/>
      <c r="L155" s="20"/>
      <c r="M155" s="20"/>
      <c r="N155" s="101">
        <f t="shared" si="7"/>
        <v>2500000</v>
      </c>
      <c r="O155" s="275" t="s">
        <v>835</v>
      </c>
    </row>
    <row r="156" spans="1:15" hidden="1" x14ac:dyDescent="0.25">
      <c r="A156" s="146">
        <f t="shared" si="8"/>
        <v>147</v>
      </c>
      <c r="B156" s="432" t="s">
        <v>434</v>
      </c>
      <c r="C156" s="2" t="s">
        <v>845</v>
      </c>
      <c r="D156" s="439">
        <v>44019</v>
      </c>
      <c r="E156" s="441">
        <v>44043</v>
      </c>
      <c r="F156" s="452">
        <v>15000000</v>
      </c>
      <c r="G156" s="107">
        <v>17000000</v>
      </c>
      <c r="H156" s="161" t="s">
        <v>17</v>
      </c>
      <c r="I156" s="107"/>
      <c r="J156" s="20"/>
      <c r="K156" s="2"/>
      <c r="L156" s="20"/>
      <c r="M156" s="20"/>
      <c r="N156" s="101">
        <f t="shared" si="7"/>
        <v>2000000</v>
      </c>
      <c r="O156" s="304" t="s">
        <v>1064</v>
      </c>
    </row>
    <row r="157" spans="1:15" hidden="1" x14ac:dyDescent="0.25">
      <c r="A157" s="146">
        <f t="shared" si="8"/>
        <v>148</v>
      </c>
      <c r="B157" s="432" t="s">
        <v>434</v>
      </c>
      <c r="C157" s="2" t="s">
        <v>846</v>
      </c>
      <c r="D157" s="439">
        <v>44019</v>
      </c>
      <c r="E157" s="441">
        <v>44019</v>
      </c>
      <c r="F157" s="452">
        <v>15000000</v>
      </c>
      <c r="G157" s="107">
        <v>16000000</v>
      </c>
      <c r="H157" s="161" t="s">
        <v>17</v>
      </c>
      <c r="I157" s="107"/>
      <c r="J157" s="20"/>
      <c r="K157" s="2"/>
      <c r="L157" s="20"/>
      <c r="M157" s="20"/>
      <c r="N157" s="101">
        <f t="shared" si="7"/>
        <v>1000000</v>
      </c>
      <c r="O157" s="275" t="s">
        <v>835</v>
      </c>
    </row>
    <row r="158" spans="1:15" hidden="1" x14ac:dyDescent="0.25">
      <c r="A158" s="146">
        <f t="shared" si="8"/>
        <v>149</v>
      </c>
      <c r="B158" s="432" t="s">
        <v>434</v>
      </c>
      <c r="C158" s="2" t="s">
        <v>847</v>
      </c>
      <c r="D158" s="439">
        <v>44019</v>
      </c>
      <c r="E158" s="441">
        <v>44023</v>
      </c>
      <c r="F158" s="452">
        <v>15000000</v>
      </c>
      <c r="G158" s="107">
        <v>16750000</v>
      </c>
      <c r="H158" s="161" t="s">
        <v>17</v>
      </c>
      <c r="I158" s="107"/>
      <c r="J158" s="20"/>
      <c r="K158" s="2"/>
      <c r="L158" s="20"/>
      <c r="M158" s="20"/>
      <c r="N158" s="101">
        <f t="shared" si="7"/>
        <v>1750000</v>
      </c>
      <c r="O158" s="275" t="s">
        <v>835</v>
      </c>
    </row>
    <row r="159" spans="1:15" hidden="1" x14ac:dyDescent="0.25">
      <c r="A159" s="146">
        <f t="shared" si="8"/>
        <v>150</v>
      </c>
      <c r="B159" s="432" t="s">
        <v>434</v>
      </c>
      <c r="C159" s="2" t="s">
        <v>848</v>
      </c>
      <c r="D159" s="439">
        <v>44019</v>
      </c>
      <c r="E159" s="441">
        <v>44049</v>
      </c>
      <c r="F159" s="452">
        <v>15000000</v>
      </c>
      <c r="G159" s="107">
        <v>16250000</v>
      </c>
      <c r="H159" s="161" t="s">
        <v>17</v>
      </c>
      <c r="I159" s="107"/>
      <c r="J159" s="20"/>
      <c r="K159" s="2"/>
      <c r="L159" s="20"/>
      <c r="M159" s="20"/>
      <c r="N159" s="101">
        <f>G159-F159</f>
        <v>1250000</v>
      </c>
      <c r="O159" s="308" t="s">
        <v>1101</v>
      </c>
    </row>
    <row r="160" spans="1:15" hidden="1" x14ac:dyDescent="0.25">
      <c r="A160" s="146">
        <f t="shared" si="8"/>
        <v>151</v>
      </c>
      <c r="B160" s="432" t="s">
        <v>434</v>
      </c>
      <c r="C160" s="2" t="s">
        <v>849</v>
      </c>
      <c r="D160" s="439">
        <v>44019</v>
      </c>
      <c r="E160" s="446">
        <v>44025</v>
      </c>
      <c r="F160" s="452">
        <v>15000000</v>
      </c>
      <c r="G160" s="107">
        <v>16000000</v>
      </c>
      <c r="H160" s="161" t="s">
        <v>17</v>
      </c>
      <c r="I160" s="107"/>
      <c r="J160" s="20"/>
      <c r="K160" s="2"/>
      <c r="L160" s="20"/>
      <c r="M160" s="20"/>
      <c r="N160" s="101">
        <f t="shared" si="7"/>
        <v>1000000</v>
      </c>
      <c r="O160" s="280" t="s">
        <v>951</v>
      </c>
    </row>
    <row r="161" spans="1:15" hidden="1" x14ac:dyDescent="0.25">
      <c r="A161" s="146">
        <f t="shared" si="8"/>
        <v>152</v>
      </c>
      <c r="B161" s="432" t="s">
        <v>434</v>
      </c>
      <c r="C161" s="3" t="s">
        <v>850</v>
      </c>
      <c r="D161" s="441">
        <v>44019</v>
      </c>
      <c r="E161" s="441">
        <v>44021</v>
      </c>
      <c r="F161" s="454">
        <v>15000000</v>
      </c>
      <c r="G161" s="137">
        <v>18500000</v>
      </c>
      <c r="H161" s="161" t="s">
        <v>17</v>
      </c>
      <c r="I161" s="137"/>
      <c r="J161" s="144"/>
      <c r="K161" s="3"/>
      <c r="L161" s="94"/>
      <c r="M161" s="94"/>
      <c r="N161" s="101">
        <f t="shared" si="7"/>
        <v>3500000</v>
      </c>
      <c r="O161" s="275" t="s">
        <v>835</v>
      </c>
    </row>
    <row r="162" spans="1:15" hidden="1" x14ac:dyDescent="0.25">
      <c r="A162" s="146">
        <f t="shared" si="8"/>
        <v>153</v>
      </c>
      <c r="B162" s="206" t="s">
        <v>936</v>
      </c>
      <c r="C162" s="2" t="s">
        <v>941</v>
      </c>
      <c r="D162" s="439">
        <v>44022</v>
      </c>
      <c r="E162" s="441">
        <v>44026</v>
      </c>
      <c r="F162" s="452">
        <v>35500000</v>
      </c>
      <c r="G162" s="107">
        <v>40000000</v>
      </c>
      <c r="H162" s="161" t="s">
        <v>17</v>
      </c>
      <c r="I162" s="107"/>
      <c r="J162" s="85"/>
      <c r="K162" s="2"/>
      <c r="L162" s="20"/>
      <c r="M162" s="20"/>
      <c r="N162" s="101">
        <f t="shared" si="7"/>
        <v>4500000</v>
      </c>
      <c r="O162" s="280" t="s">
        <v>951</v>
      </c>
    </row>
    <row r="163" spans="1:15" hidden="1" x14ac:dyDescent="0.25">
      <c r="A163" s="427">
        <f t="shared" si="8"/>
        <v>154</v>
      </c>
      <c r="B163" s="432" t="s">
        <v>936</v>
      </c>
      <c r="C163" s="387" t="s">
        <v>942</v>
      </c>
      <c r="D163" s="441">
        <v>44022</v>
      </c>
      <c r="E163" s="441">
        <v>44132</v>
      </c>
      <c r="F163" s="454">
        <v>35500000</v>
      </c>
      <c r="G163" s="137">
        <v>35500000</v>
      </c>
      <c r="H163" s="350" t="s">
        <v>17</v>
      </c>
      <c r="I163" s="137"/>
      <c r="J163" s="94"/>
      <c r="K163" s="3"/>
      <c r="L163" s="94"/>
      <c r="M163" s="94"/>
      <c r="N163" s="101">
        <f t="shared" si="7"/>
        <v>0</v>
      </c>
      <c r="O163" s="389" t="s">
        <v>1600</v>
      </c>
    </row>
    <row r="164" spans="1:15" hidden="1" x14ac:dyDescent="0.25">
      <c r="A164" s="427">
        <f t="shared" si="8"/>
        <v>155</v>
      </c>
      <c r="B164" s="432" t="s">
        <v>28</v>
      </c>
      <c r="C164" s="3" t="s">
        <v>943</v>
      </c>
      <c r="D164" s="441">
        <v>44023</v>
      </c>
      <c r="E164" s="441">
        <v>44014</v>
      </c>
      <c r="F164" s="454">
        <v>14000000</v>
      </c>
      <c r="G164" s="137">
        <v>15000000</v>
      </c>
      <c r="H164" s="161" t="s">
        <v>17</v>
      </c>
      <c r="I164" s="137" t="s">
        <v>956</v>
      </c>
      <c r="J164" s="94"/>
      <c r="K164" s="3"/>
      <c r="L164" s="94"/>
      <c r="M164" s="94"/>
      <c r="N164" s="94">
        <f t="shared" si="7"/>
        <v>1000000</v>
      </c>
      <c r="O164" s="304" t="s">
        <v>1064</v>
      </c>
    </row>
    <row r="165" spans="1:15" hidden="1" x14ac:dyDescent="0.25">
      <c r="A165" s="427">
        <f t="shared" si="8"/>
        <v>156</v>
      </c>
      <c r="B165" s="206" t="s">
        <v>309</v>
      </c>
      <c r="C165" s="348" t="s">
        <v>1090</v>
      </c>
      <c r="D165" s="439">
        <v>44042</v>
      </c>
      <c r="E165" s="441">
        <v>44069</v>
      </c>
      <c r="F165" s="456">
        <v>21300000</v>
      </c>
      <c r="G165" s="306">
        <v>21000000</v>
      </c>
      <c r="H165" s="350" t="s">
        <v>17</v>
      </c>
      <c r="I165" s="107"/>
      <c r="J165" s="85"/>
      <c r="K165" s="2"/>
      <c r="L165" s="20"/>
      <c r="M165" s="20"/>
      <c r="N165" s="101">
        <f t="shared" si="7"/>
        <v>-300000</v>
      </c>
      <c r="O165" s="351" t="s">
        <v>1255</v>
      </c>
    </row>
    <row r="166" spans="1:15" hidden="1" x14ac:dyDescent="0.25">
      <c r="A166" s="146">
        <f t="shared" si="8"/>
        <v>157</v>
      </c>
      <c r="B166" s="206" t="s">
        <v>309</v>
      </c>
      <c r="C166" s="2" t="s">
        <v>1091</v>
      </c>
      <c r="D166" s="439">
        <v>44042</v>
      </c>
      <c r="E166" s="439">
        <v>44063</v>
      </c>
      <c r="F166" s="456">
        <v>21300000</v>
      </c>
      <c r="G166" s="306">
        <v>22000000</v>
      </c>
      <c r="H166" s="313" t="s">
        <v>17</v>
      </c>
      <c r="I166" s="107"/>
      <c r="J166" s="20"/>
      <c r="K166" s="2"/>
      <c r="L166" s="20"/>
      <c r="M166" s="20"/>
      <c r="N166" s="152">
        <f t="shared" si="7"/>
        <v>700000</v>
      </c>
      <c r="O166" s="329" t="s">
        <v>1223</v>
      </c>
    </row>
    <row r="167" spans="1:15" hidden="1" x14ac:dyDescent="0.25">
      <c r="A167" s="146">
        <f t="shared" si="8"/>
        <v>158</v>
      </c>
      <c r="B167" s="432" t="s">
        <v>309</v>
      </c>
      <c r="C167" s="3" t="s">
        <v>1092</v>
      </c>
      <c r="D167" s="441">
        <v>44042</v>
      </c>
      <c r="E167" s="445">
        <v>44051</v>
      </c>
      <c r="F167" s="456">
        <v>21325000</v>
      </c>
      <c r="G167" s="311">
        <v>24250000</v>
      </c>
      <c r="H167" s="161" t="s">
        <v>17</v>
      </c>
      <c r="I167" s="137"/>
      <c r="J167" s="94"/>
      <c r="K167" s="3"/>
      <c r="L167" s="94"/>
      <c r="M167" s="94"/>
      <c r="N167" s="94">
        <f t="shared" si="7"/>
        <v>2925000</v>
      </c>
      <c r="O167" s="328" t="s">
        <v>1101</v>
      </c>
    </row>
    <row r="168" spans="1:15" hidden="1" x14ac:dyDescent="0.25">
      <c r="A168" s="146">
        <f t="shared" si="8"/>
        <v>159</v>
      </c>
      <c r="B168" s="432" t="s">
        <v>309</v>
      </c>
      <c r="C168" s="3" t="s">
        <v>1102</v>
      </c>
      <c r="D168" s="441">
        <v>44047</v>
      </c>
      <c r="E168" s="445">
        <v>44051</v>
      </c>
      <c r="F168" s="457">
        <v>21325000</v>
      </c>
      <c r="G168" s="325">
        <v>23000000</v>
      </c>
      <c r="H168" s="161" t="s">
        <v>17</v>
      </c>
      <c r="I168" s="137"/>
      <c r="J168" s="94"/>
      <c r="K168" s="3"/>
      <c r="L168" s="94"/>
      <c r="M168" s="94"/>
      <c r="N168" s="94">
        <f t="shared" si="7"/>
        <v>1675000</v>
      </c>
      <c r="O168" s="342" t="s">
        <v>1101</v>
      </c>
    </row>
    <row r="169" spans="1:15" hidden="1" x14ac:dyDescent="0.25">
      <c r="A169" s="146">
        <f t="shared" si="8"/>
        <v>160</v>
      </c>
      <c r="B169" s="206" t="s">
        <v>87</v>
      </c>
      <c r="C169" s="348" t="s">
        <v>1262</v>
      </c>
      <c r="D169" s="439">
        <v>44069</v>
      </c>
      <c r="E169" s="441">
        <v>44112</v>
      </c>
      <c r="F169" s="456">
        <v>10950000</v>
      </c>
      <c r="G169" s="306">
        <v>11500000</v>
      </c>
      <c r="H169" s="350" t="s">
        <v>17</v>
      </c>
      <c r="I169" s="107"/>
      <c r="J169" s="20"/>
      <c r="K169" s="2"/>
      <c r="L169" s="20"/>
      <c r="M169" s="20"/>
      <c r="N169" s="101">
        <f t="shared" si="7"/>
        <v>550000</v>
      </c>
      <c r="O169" s="375" t="s">
        <v>1524</v>
      </c>
    </row>
    <row r="170" spans="1:15" hidden="1" x14ac:dyDescent="0.25">
      <c r="A170" s="146">
        <f t="shared" si="8"/>
        <v>161</v>
      </c>
      <c r="B170" s="206" t="s">
        <v>87</v>
      </c>
      <c r="C170" s="348" t="s">
        <v>1263</v>
      </c>
      <c r="D170" s="439">
        <v>44069</v>
      </c>
      <c r="E170" s="441">
        <v>44070</v>
      </c>
      <c r="F170" s="456">
        <v>10950000</v>
      </c>
      <c r="G170" s="306">
        <v>12250000</v>
      </c>
      <c r="H170" s="350" t="s">
        <v>17</v>
      </c>
      <c r="I170" s="20"/>
      <c r="J170" s="20"/>
      <c r="K170" s="2"/>
      <c r="L170" s="20"/>
      <c r="M170" s="20"/>
      <c r="N170" s="94">
        <f t="shared" si="7"/>
        <v>1300000</v>
      </c>
      <c r="O170" s="351" t="s">
        <v>1255</v>
      </c>
    </row>
    <row r="171" spans="1:15" hidden="1" x14ac:dyDescent="0.25">
      <c r="A171" s="146">
        <f t="shared" si="8"/>
        <v>162</v>
      </c>
      <c r="B171" s="206" t="s">
        <v>87</v>
      </c>
      <c r="C171" s="348" t="s">
        <v>1264</v>
      </c>
      <c r="D171" s="439">
        <v>44069</v>
      </c>
      <c r="E171" s="441">
        <v>44085</v>
      </c>
      <c r="F171" s="456">
        <v>10950000</v>
      </c>
      <c r="G171" s="306">
        <v>12000000</v>
      </c>
      <c r="H171" s="350" t="s">
        <v>17</v>
      </c>
      <c r="I171" s="20"/>
      <c r="J171" s="85"/>
      <c r="K171" s="2"/>
      <c r="L171" s="20"/>
      <c r="M171" s="20"/>
      <c r="N171" s="94">
        <f t="shared" si="7"/>
        <v>1050000</v>
      </c>
      <c r="O171" s="357" t="s">
        <v>1335</v>
      </c>
    </row>
    <row r="172" spans="1:15" hidden="1" x14ac:dyDescent="0.25">
      <c r="A172" s="146">
        <f t="shared" si="8"/>
        <v>163</v>
      </c>
      <c r="B172" s="206" t="s">
        <v>87</v>
      </c>
      <c r="C172" s="348" t="s">
        <v>1265</v>
      </c>
      <c r="D172" s="439">
        <v>44069</v>
      </c>
      <c r="E172" s="441">
        <v>44069</v>
      </c>
      <c r="F172" s="456">
        <v>10950000</v>
      </c>
      <c r="G172" s="306">
        <v>13650000</v>
      </c>
      <c r="H172" s="350" t="s">
        <v>17</v>
      </c>
      <c r="I172" s="20"/>
      <c r="J172" s="20"/>
      <c r="K172" s="2"/>
      <c r="L172" s="20"/>
      <c r="M172" s="20"/>
      <c r="N172" s="101">
        <f t="shared" si="7"/>
        <v>2700000</v>
      </c>
      <c r="O172" s="351" t="s">
        <v>1255</v>
      </c>
    </row>
    <row r="173" spans="1:15" hidden="1" x14ac:dyDescent="0.25">
      <c r="A173" s="146">
        <f t="shared" si="8"/>
        <v>164</v>
      </c>
      <c r="B173" s="206" t="s">
        <v>87</v>
      </c>
      <c r="C173" s="348" t="s">
        <v>1266</v>
      </c>
      <c r="D173" s="439">
        <v>44069</v>
      </c>
      <c r="E173" s="441">
        <v>44069</v>
      </c>
      <c r="F173" s="456">
        <v>10950000</v>
      </c>
      <c r="G173" s="355">
        <v>11400000</v>
      </c>
      <c r="H173" s="350" t="s">
        <v>17</v>
      </c>
      <c r="I173" s="20"/>
      <c r="J173" s="20"/>
      <c r="K173" s="2"/>
      <c r="L173" s="20"/>
      <c r="M173" s="20"/>
      <c r="N173" s="101">
        <f t="shared" si="7"/>
        <v>450000</v>
      </c>
      <c r="O173" s="351" t="s">
        <v>1255</v>
      </c>
    </row>
    <row r="174" spans="1:15" hidden="1" x14ac:dyDescent="0.25">
      <c r="A174" s="146">
        <f t="shared" si="8"/>
        <v>165</v>
      </c>
      <c r="B174" s="206" t="s">
        <v>87</v>
      </c>
      <c r="C174" s="348" t="s">
        <v>1267</v>
      </c>
      <c r="D174" s="439">
        <v>44069</v>
      </c>
      <c r="E174" s="441">
        <v>44072</v>
      </c>
      <c r="F174" s="456">
        <v>10950000</v>
      </c>
      <c r="G174" s="306">
        <v>11500000</v>
      </c>
      <c r="H174" s="350" t="s">
        <v>17</v>
      </c>
      <c r="I174" s="20"/>
      <c r="J174" s="20"/>
      <c r="K174" s="2"/>
      <c r="L174" s="20"/>
      <c r="M174" s="20"/>
      <c r="N174" s="101">
        <f t="shared" si="7"/>
        <v>550000</v>
      </c>
      <c r="O174" s="351" t="s">
        <v>1255</v>
      </c>
    </row>
    <row r="175" spans="1:15" hidden="1" x14ac:dyDescent="0.25">
      <c r="A175" s="146">
        <f t="shared" si="8"/>
        <v>166</v>
      </c>
      <c r="B175" s="206" t="s">
        <v>87</v>
      </c>
      <c r="C175" s="348" t="s">
        <v>1268</v>
      </c>
      <c r="D175" s="439">
        <v>44069</v>
      </c>
      <c r="E175" s="441">
        <v>44071</v>
      </c>
      <c r="F175" s="456">
        <v>10950000</v>
      </c>
      <c r="G175" s="306">
        <v>15000000</v>
      </c>
      <c r="H175" s="350" t="s">
        <v>17</v>
      </c>
      <c r="I175" s="20"/>
      <c r="J175" s="352"/>
      <c r="K175" s="2"/>
      <c r="L175" s="20"/>
      <c r="M175" s="20"/>
      <c r="N175" s="101">
        <f t="shared" ref="N175:N238" si="9">G175-F175</f>
        <v>4050000</v>
      </c>
      <c r="O175" s="351" t="s">
        <v>1255</v>
      </c>
    </row>
    <row r="176" spans="1:15" hidden="1" x14ac:dyDescent="0.25">
      <c r="A176" s="146">
        <f t="shared" si="8"/>
        <v>167</v>
      </c>
      <c r="B176" s="206" t="s">
        <v>87</v>
      </c>
      <c r="C176" s="346" t="s">
        <v>1269</v>
      </c>
      <c r="D176" s="439">
        <v>44069</v>
      </c>
      <c r="E176" s="441">
        <v>44069</v>
      </c>
      <c r="F176" s="456">
        <v>10950000</v>
      </c>
      <c r="G176" s="306">
        <v>11500000</v>
      </c>
      <c r="H176" s="350" t="s">
        <v>17</v>
      </c>
      <c r="I176" s="20"/>
      <c r="J176" s="20"/>
      <c r="K176" s="2"/>
      <c r="L176" s="20"/>
      <c r="M176" s="20"/>
      <c r="N176" s="101">
        <f t="shared" si="9"/>
        <v>550000</v>
      </c>
      <c r="O176" s="351" t="s">
        <v>1255</v>
      </c>
    </row>
    <row r="177" spans="1:15" hidden="1" x14ac:dyDescent="0.25">
      <c r="A177" s="146">
        <f t="shared" si="8"/>
        <v>168</v>
      </c>
      <c r="B177" s="206" t="s">
        <v>87</v>
      </c>
      <c r="C177" s="346" t="s">
        <v>1270</v>
      </c>
      <c r="D177" s="439">
        <v>44069</v>
      </c>
      <c r="E177" s="441">
        <v>44079</v>
      </c>
      <c r="F177" s="456">
        <v>10950000</v>
      </c>
      <c r="G177" s="306">
        <v>11750000</v>
      </c>
      <c r="H177" s="350" t="s">
        <v>17</v>
      </c>
      <c r="I177" s="20"/>
      <c r="J177" s="85"/>
      <c r="K177" s="2"/>
      <c r="L177" s="20"/>
      <c r="M177" s="20"/>
      <c r="N177" s="101">
        <f t="shared" si="9"/>
        <v>800000</v>
      </c>
      <c r="O177" s="357" t="s">
        <v>1335</v>
      </c>
    </row>
    <row r="178" spans="1:15" hidden="1" x14ac:dyDescent="0.25">
      <c r="A178" s="146">
        <f t="shared" si="8"/>
        <v>169</v>
      </c>
      <c r="B178" s="206" t="s">
        <v>87</v>
      </c>
      <c r="C178" s="346" t="s">
        <v>1471</v>
      </c>
      <c r="D178" s="439">
        <v>44069</v>
      </c>
      <c r="E178" s="441">
        <v>44069</v>
      </c>
      <c r="F178" s="456">
        <v>10950000</v>
      </c>
      <c r="G178" s="306">
        <v>11250000</v>
      </c>
      <c r="H178" s="350" t="s">
        <v>17</v>
      </c>
      <c r="I178" s="20"/>
      <c r="J178" s="20"/>
      <c r="K178" s="2"/>
      <c r="L178" s="20"/>
      <c r="M178" s="20"/>
      <c r="N178" s="101">
        <f t="shared" si="9"/>
        <v>300000</v>
      </c>
      <c r="O178" s="351" t="s">
        <v>1255</v>
      </c>
    </row>
    <row r="179" spans="1:15" hidden="1" x14ac:dyDescent="0.25">
      <c r="A179" s="428">
        <f t="shared" si="8"/>
        <v>170</v>
      </c>
      <c r="B179" s="206" t="s">
        <v>87</v>
      </c>
      <c r="C179" s="346" t="s">
        <v>1272</v>
      </c>
      <c r="D179" s="439">
        <v>44069</v>
      </c>
      <c r="E179" s="441">
        <v>44071</v>
      </c>
      <c r="F179" s="456">
        <v>10950000</v>
      </c>
      <c r="G179" s="306">
        <v>12750000</v>
      </c>
      <c r="H179" s="350" t="s">
        <v>17</v>
      </c>
      <c r="I179" s="20"/>
      <c r="J179" s="20"/>
      <c r="K179" s="2"/>
      <c r="L179" s="20"/>
      <c r="M179" s="20"/>
      <c r="N179" s="101">
        <f t="shared" si="9"/>
        <v>1800000</v>
      </c>
      <c r="O179" s="351" t="s">
        <v>1255</v>
      </c>
    </row>
    <row r="180" spans="1:15" hidden="1" x14ac:dyDescent="0.25">
      <c r="A180" s="146">
        <f t="shared" si="8"/>
        <v>171</v>
      </c>
      <c r="B180" s="206" t="s">
        <v>87</v>
      </c>
      <c r="C180" s="346" t="s">
        <v>1273</v>
      </c>
      <c r="D180" s="439">
        <v>44069</v>
      </c>
      <c r="E180" s="441">
        <v>44069</v>
      </c>
      <c r="F180" s="456">
        <v>10950000</v>
      </c>
      <c r="G180" s="306">
        <v>11250000</v>
      </c>
      <c r="H180" s="350" t="s">
        <v>17</v>
      </c>
      <c r="I180" s="20"/>
      <c r="J180" s="20"/>
      <c r="K180" s="2"/>
      <c r="L180" s="20"/>
      <c r="M180" s="20"/>
      <c r="N180" s="101">
        <f t="shared" si="9"/>
        <v>300000</v>
      </c>
      <c r="O180" s="351" t="s">
        <v>1255</v>
      </c>
    </row>
    <row r="181" spans="1:15" hidden="1" x14ac:dyDescent="0.25">
      <c r="A181" s="146">
        <f t="shared" si="8"/>
        <v>172</v>
      </c>
      <c r="B181" s="206" t="s">
        <v>87</v>
      </c>
      <c r="C181" s="346" t="s">
        <v>1274</v>
      </c>
      <c r="D181" s="439">
        <v>44069</v>
      </c>
      <c r="E181" s="441">
        <v>44069</v>
      </c>
      <c r="F181" s="456">
        <v>10950000</v>
      </c>
      <c r="G181" s="306">
        <v>11500000</v>
      </c>
      <c r="H181" s="350" t="s">
        <v>17</v>
      </c>
      <c r="I181" s="20"/>
      <c r="J181" s="20"/>
      <c r="K181" s="2"/>
      <c r="L181" s="20"/>
      <c r="M181" s="20"/>
      <c r="N181" s="101">
        <f t="shared" si="9"/>
        <v>550000</v>
      </c>
      <c r="O181" s="351" t="s">
        <v>1255</v>
      </c>
    </row>
    <row r="182" spans="1:15" hidden="1" x14ac:dyDescent="0.25">
      <c r="A182" s="146">
        <f t="shared" si="8"/>
        <v>173</v>
      </c>
      <c r="B182" s="206" t="s">
        <v>87</v>
      </c>
      <c r="C182" s="346" t="s">
        <v>1275</v>
      </c>
      <c r="D182" s="439">
        <v>44069</v>
      </c>
      <c r="E182" s="441">
        <v>44069</v>
      </c>
      <c r="F182" s="456">
        <v>10950000</v>
      </c>
      <c r="G182" s="306">
        <v>15000000</v>
      </c>
      <c r="H182" s="350" t="s">
        <v>17</v>
      </c>
      <c r="I182" s="20"/>
      <c r="J182" s="20"/>
      <c r="K182" s="2"/>
      <c r="L182" s="20"/>
      <c r="M182" s="20"/>
      <c r="N182" s="101">
        <f t="shared" si="9"/>
        <v>4050000</v>
      </c>
      <c r="O182" s="351" t="s">
        <v>1255</v>
      </c>
    </row>
    <row r="183" spans="1:15" hidden="1" x14ac:dyDescent="0.25">
      <c r="A183" s="146">
        <f t="shared" si="8"/>
        <v>174</v>
      </c>
      <c r="B183" s="206" t="s">
        <v>87</v>
      </c>
      <c r="C183" s="346" t="s">
        <v>1276</v>
      </c>
      <c r="D183" s="439">
        <v>44069</v>
      </c>
      <c r="E183" s="441">
        <v>44069</v>
      </c>
      <c r="F183" s="456">
        <v>10950000</v>
      </c>
      <c r="G183" s="306">
        <v>12250000</v>
      </c>
      <c r="H183" s="350" t="s">
        <v>17</v>
      </c>
      <c r="I183" s="20"/>
      <c r="J183" s="20"/>
      <c r="K183" s="2"/>
      <c r="L183" s="20"/>
      <c r="M183" s="20"/>
      <c r="N183" s="101">
        <f t="shared" si="9"/>
        <v>1300000</v>
      </c>
      <c r="O183" s="351" t="s">
        <v>1255</v>
      </c>
    </row>
    <row r="184" spans="1:15" hidden="1" x14ac:dyDescent="0.25">
      <c r="A184" s="146">
        <f>A183+1</f>
        <v>175</v>
      </c>
      <c r="B184" s="206" t="s">
        <v>87</v>
      </c>
      <c r="C184" s="346" t="s">
        <v>1277</v>
      </c>
      <c r="D184" s="439">
        <v>44069</v>
      </c>
      <c r="E184" s="441">
        <v>44092</v>
      </c>
      <c r="F184" s="456">
        <v>10950000</v>
      </c>
      <c r="G184" s="306">
        <v>11950000</v>
      </c>
      <c r="H184" s="350" t="s">
        <v>17</v>
      </c>
      <c r="I184" s="20"/>
      <c r="J184" s="20"/>
      <c r="K184" s="2"/>
      <c r="L184" s="20"/>
      <c r="M184" s="20"/>
      <c r="N184" s="101">
        <f t="shared" si="9"/>
        <v>1000000</v>
      </c>
      <c r="O184" s="364" t="s">
        <v>1435</v>
      </c>
    </row>
    <row r="185" spans="1:15" hidden="1" x14ac:dyDescent="0.25">
      <c r="A185" s="146">
        <f t="shared" ref="A185:A244" si="10">A184+1</f>
        <v>176</v>
      </c>
      <c r="B185" s="206" t="s">
        <v>87</v>
      </c>
      <c r="C185" s="346" t="s">
        <v>1278</v>
      </c>
      <c r="D185" s="439">
        <v>44069</v>
      </c>
      <c r="E185" s="447">
        <v>44072</v>
      </c>
      <c r="F185" s="456">
        <v>10950000</v>
      </c>
      <c r="G185" s="306">
        <v>12000000</v>
      </c>
      <c r="H185" s="350" t="s">
        <v>17</v>
      </c>
      <c r="I185" s="20"/>
      <c r="J185" s="85"/>
      <c r="K185" s="2"/>
      <c r="L185" s="20"/>
      <c r="M185" s="20"/>
      <c r="N185" s="101">
        <f t="shared" si="9"/>
        <v>1050000</v>
      </c>
      <c r="O185" s="351" t="s">
        <v>1255</v>
      </c>
    </row>
    <row r="186" spans="1:15" hidden="1" x14ac:dyDescent="0.25">
      <c r="A186" s="146">
        <f t="shared" si="10"/>
        <v>177</v>
      </c>
      <c r="B186" s="206" t="s">
        <v>87</v>
      </c>
      <c r="C186" s="346" t="s">
        <v>1279</v>
      </c>
      <c r="D186" s="439">
        <v>44069</v>
      </c>
      <c r="E186" s="441">
        <v>44069</v>
      </c>
      <c r="F186" s="456">
        <v>10950000</v>
      </c>
      <c r="G186" s="306">
        <v>12000000</v>
      </c>
      <c r="H186" s="350" t="s">
        <v>17</v>
      </c>
      <c r="I186" s="20"/>
      <c r="J186" s="20"/>
      <c r="K186" s="2"/>
      <c r="L186" s="20"/>
      <c r="M186" s="20"/>
      <c r="N186" s="101">
        <f t="shared" si="9"/>
        <v>1050000</v>
      </c>
      <c r="O186" s="351" t="s">
        <v>1255</v>
      </c>
    </row>
    <row r="187" spans="1:15" hidden="1" x14ac:dyDescent="0.25">
      <c r="A187" s="146">
        <f t="shared" si="10"/>
        <v>178</v>
      </c>
      <c r="B187" s="206" t="s">
        <v>87</v>
      </c>
      <c r="C187" s="346" t="s">
        <v>1280</v>
      </c>
      <c r="D187" s="439">
        <v>44069</v>
      </c>
      <c r="E187" s="447">
        <v>44072</v>
      </c>
      <c r="F187" s="456">
        <v>10950000</v>
      </c>
      <c r="G187" s="306">
        <v>12000000</v>
      </c>
      <c r="H187" s="350" t="s">
        <v>17</v>
      </c>
      <c r="I187" s="20"/>
      <c r="J187" s="85"/>
      <c r="K187" s="2"/>
      <c r="L187" s="20"/>
      <c r="M187" s="20"/>
      <c r="N187" s="101">
        <f t="shared" si="9"/>
        <v>1050000</v>
      </c>
      <c r="O187" s="351" t="s">
        <v>1255</v>
      </c>
    </row>
    <row r="188" spans="1:15" hidden="1" x14ac:dyDescent="0.25">
      <c r="A188" s="146">
        <f t="shared" si="10"/>
        <v>179</v>
      </c>
      <c r="B188" s="206" t="s">
        <v>87</v>
      </c>
      <c r="C188" s="346" t="s">
        <v>1281</v>
      </c>
      <c r="D188" s="439">
        <v>44069</v>
      </c>
      <c r="E188" s="439">
        <v>44070</v>
      </c>
      <c r="F188" s="456">
        <v>10950000</v>
      </c>
      <c r="G188" s="306">
        <v>12000000</v>
      </c>
      <c r="H188" s="350" t="s">
        <v>17</v>
      </c>
      <c r="I188" s="20"/>
      <c r="J188" s="20"/>
      <c r="K188" s="2"/>
      <c r="L188" s="20"/>
      <c r="M188" s="20"/>
      <c r="N188" s="101">
        <f t="shared" si="9"/>
        <v>1050000</v>
      </c>
      <c r="O188" s="351" t="s">
        <v>1255</v>
      </c>
    </row>
    <row r="189" spans="1:15" hidden="1" x14ac:dyDescent="0.25">
      <c r="A189" s="146">
        <f t="shared" si="10"/>
        <v>180</v>
      </c>
      <c r="B189" s="76" t="s">
        <v>435</v>
      </c>
      <c r="C189" s="346" t="s">
        <v>1282</v>
      </c>
      <c r="D189" s="439">
        <v>44069</v>
      </c>
      <c r="E189" s="441">
        <v>44072</v>
      </c>
      <c r="F189" s="450">
        <v>14650000</v>
      </c>
      <c r="G189" s="107">
        <v>16500000</v>
      </c>
      <c r="H189" s="350" t="s">
        <v>17</v>
      </c>
      <c r="I189" s="20"/>
      <c r="J189" s="85"/>
      <c r="K189" s="2"/>
      <c r="L189" s="20"/>
      <c r="M189" s="20"/>
      <c r="N189" s="101">
        <f t="shared" si="9"/>
        <v>1850000</v>
      </c>
      <c r="O189" s="351" t="s">
        <v>1255</v>
      </c>
    </row>
    <row r="190" spans="1:15" hidden="1" x14ac:dyDescent="0.25">
      <c r="A190" s="146">
        <f t="shared" si="10"/>
        <v>181</v>
      </c>
      <c r="B190" s="76" t="s">
        <v>435</v>
      </c>
      <c r="C190" s="346" t="s">
        <v>1283</v>
      </c>
      <c r="D190" s="439">
        <v>44069</v>
      </c>
      <c r="E190" s="441">
        <v>44077</v>
      </c>
      <c r="F190" s="450">
        <v>14650000</v>
      </c>
      <c r="G190" s="107">
        <v>15300000</v>
      </c>
      <c r="H190" s="350" t="s">
        <v>17</v>
      </c>
      <c r="I190" s="20"/>
      <c r="J190" s="20"/>
      <c r="K190" s="2"/>
      <c r="L190" s="20"/>
      <c r="M190" s="20"/>
      <c r="N190" s="101">
        <f t="shared" si="9"/>
        <v>650000</v>
      </c>
      <c r="O190" s="357" t="s">
        <v>1335</v>
      </c>
    </row>
    <row r="191" spans="1:15" hidden="1" x14ac:dyDescent="0.25">
      <c r="A191" s="146">
        <f t="shared" si="10"/>
        <v>182</v>
      </c>
      <c r="B191" s="206" t="s">
        <v>87</v>
      </c>
      <c r="C191" s="346" t="s">
        <v>1284</v>
      </c>
      <c r="D191" s="439">
        <v>44069</v>
      </c>
      <c r="E191" s="441">
        <v>44069</v>
      </c>
      <c r="F191" s="456">
        <v>10950000</v>
      </c>
      <c r="G191" s="306">
        <v>13750000</v>
      </c>
      <c r="H191" s="350" t="s">
        <v>17</v>
      </c>
      <c r="I191" s="20"/>
      <c r="J191" s="20"/>
      <c r="K191" s="2"/>
      <c r="L191" s="20"/>
      <c r="M191" s="20"/>
      <c r="N191" s="101">
        <f t="shared" si="9"/>
        <v>2800000</v>
      </c>
      <c r="O191" s="351" t="s">
        <v>1255</v>
      </c>
    </row>
    <row r="192" spans="1:15" hidden="1" x14ac:dyDescent="0.25">
      <c r="A192" s="146">
        <f t="shared" si="10"/>
        <v>183</v>
      </c>
      <c r="B192" s="76" t="s">
        <v>435</v>
      </c>
      <c r="C192" s="346" t="s">
        <v>1285</v>
      </c>
      <c r="D192" s="439">
        <v>44069</v>
      </c>
      <c r="E192" s="441">
        <v>44086</v>
      </c>
      <c r="F192" s="450">
        <v>14650000</v>
      </c>
      <c r="G192" s="107">
        <v>16250000</v>
      </c>
      <c r="H192" s="350" t="s">
        <v>17</v>
      </c>
      <c r="I192" s="20"/>
      <c r="J192" s="20"/>
      <c r="K192" s="2"/>
      <c r="L192" s="20"/>
      <c r="M192" s="20"/>
      <c r="N192" s="101">
        <f t="shared" si="9"/>
        <v>1600000</v>
      </c>
      <c r="O192" s="362" t="s">
        <v>1401</v>
      </c>
    </row>
    <row r="193" spans="1:15" hidden="1" x14ac:dyDescent="0.25">
      <c r="A193" s="146">
        <f t="shared" si="10"/>
        <v>184</v>
      </c>
      <c r="B193" s="76" t="s">
        <v>936</v>
      </c>
      <c r="C193" s="346" t="s">
        <v>1286</v>
      </c>
      <c r="D193" s="439">
        <v>44069</v>
      </c>
      <c r="E193" s="441">
        <v>44079</v>
      </c>
      <c r="F193" s="450">
        <v>34000000</v>
      </c>
      <c r="G193" s="107">
        <v>36250000</v>
      </c>
      <c r="H193" s="350" t="s">
        <v>17</v>
      </c>
      <c r="I193" s="20"/>
      <c r="J193" s="85"/>
      <c r="K193" s="2"/>
      <c r="L193" s="20"/>
      <c r="M193" s="20"/>
      <c r="N193" s="101">
        <f t="shared" si="9"/>
        <v>2250000</v>
      </c>
      <c r="O193" s="357" t="s">
        <v>1335</v>
      </c>
    </row>
    <row r="194" spans="1:15" hidden="1" x14ac:dyDescent="0.25">
      <c r="A194" s="146">
        <f t="shared" si="10"/>
        <v>185</v>
      </c>
      <c r="B194" s="206" t="s">
        <v>87</v>
      </c>
      <c r="C194" s="346" t="s">
        <v>1287</v>
      </c>
      <c r="D194" s="439">
        <v>44069</v>
      </c>
      <c r="E194" s="441">
        <v>44085</v>
      </c>
      <c r="F194" s="456">
        <v>10950000</v>
      </c>
      <c r="G194" s="306">
        <v>11750000</v>
      </c>
      <c r="H194" s="350" t="s">
        <v>17</v>
      </c>
      <c r="I194" s="20"/>
      <c r="J194" s="85"/>
      <c r="K194" s="2"/>
      <c r="L194" s="20"/>
      <c r="M194" s="20"/>
      <c r="N194" s="101">
        <f t="shared" si="9"/>
        <v>800000</v>
      </c>
      <c r="O194" s="364" t="s">
        <v>1435</v>
      </c>
    </row>
    <row r="195" spans="1:15" hidden="1" x14ac:dyDescent="0.25">
      <c r="A195" s="146">
        <f t="shared" si="10"/>
        <v>186</v>
      </c>
      <c r="B195" s="206" t="s">
        <v>87</v>
      </c>
      <c r="C195" s="346" t="s">
        <v>1288</v>
      </c>
      <c r="D195" s="439">
        <v>44069</v>
      </c>
      <c r="E195" s="441">
        <v>44071</v>
      </c>
      <c r="F195" s="456">
        <v>10950000</v>
      </c>
      <c r="G195" s="306">
        <v>12000000</v>
      </c>
      <c r="H195" s="350" t="s">
        <v>17</v>
      </c>
      <c r="I195" s="20"/>
      <c r="J195" s="20"/>
      <c r="K195" s="2"/>
      <c r="L195" s="20"/>
      <c r="M195" s="20"/>
      <c r="N195" s="101">
        <f t="shared" si="9"/>
        <v>1050000</v>
      </c>
      <c r="O195" s="351" t="s">
        <v>1255</v>
      </c>
    </row>
    <row r="196" spans="1:15" hidden="1" x14ac:dyDescent="0.25">
      <c r="A196" s="146">
        <f t="shared" si="10"/>
        <v>187</v>
      </c>
      <c r="B196" s="76" t="s">
        <v>435</v>
      </c>
      <c r="C196" s="346" t="s">
        <v>1289</v>
      </c>
      <c r="D196" s="439">
        <v>44069</v>
      </c>
      <c r="E196" s="441">
        <v>44093</v>
      </c>
      <c r="F196" s="450">
        <v>14650000</v>
      </c>
      <c r="G196" s="107">
        <v>16250000</v>
      </c>
      <c r="H196" s="350" t="s">
        <v>17</v>
      </c>
      <c r="I196" s="20"/>
      <c r="J196" s="20"/>
      <c r="K196" s="2"/>
      <c r="L196" s="20"/>
      <c r="M196" s="20"/>
      <c r="N196" s="101">
        <f t="shared" si="9"/>
        <v>1600000</v>
      </c>
      <c r="O196" s="364" t="s">
        <v>1435</v>
      </c>
    </row>
    <row r="197" spans="1:15" hidden="1" x14ac:dyDescent="0.25">
      <c r="A197" s="146">
        <f t="shared" si="10"/>
        <v>188</v>
      </c>
      <c r="B197" s="76" t="s">
        <v>435</v>
      </c>
      <c r="C197" s="346" t="s">
        <v>1290</v>
      </c>
      <c r="D197" s="439">
        <v>44069</v>
      </c>
      <c r="E197" s="441">
        <v>44074</v>
      </c>
      <c r="F197" s="450">
        <v>14650000</v>
      </c>
      <c r="G197" s="107">
        <v>15750000</v>
      </c>
      <c r="H197" s="350" t="s">
        <v>17</v>
      </c>
      <c r="I197" s="20"/>
      <c r="J197" s="20"/>
      <c r="K197" s="2"/>
      <c r="L197" s="20"/>
      <c r="M197" s="20"/>
      <c r="N197" s="101">
        <f t="shared" si="9"/>
        <v>1100000</v>
      </c>
      <c r="O197" s="357" t="s">
        <v>1335</v>
      </c>
    </row>
    <row r="198" spans="1:15" hidden="1" x14ac:dyDescent="0.25">
      <c r="A198" s="146">
        <f t="shared" si="10"/>
        <v>189</v>
      </c>
      <c r="B198" s="76" t="s">
        <v>435</v>
      </c>
      <c r="C198" s="346" t="s">
        <v>1291</v>
      </c>
      <c r="D198" s="439">
        <v>44069</v>
      </c>
      <c r="E198" s="441">
        <v>44074</v>
      </c>
      <c r="F198" s="450">
        <v>14650000</v>
      </c>
      <c r="G198" s="107">
        <v>15750000</v>
      </c>
      <c r="H198" s="350" t="s">
        <v>17</v>
      </c>
      <c r="I198" s="20"/>
      <c r="J198" s="85"/>
      <c r="K198" s="2"/>
      <c r="L198" s="20"/>
      <c r="M198" s="20"/>
      <c r="N198" s="101">
        <f t="shared" si="9"/>
        <v>1100000</v>
      </c>
      <c r="O198" s="357" t="s">
        <v>1335</v>
      </c>
    </row>
    <row r="199" spans="1:15" hidden="1" x14ac:dyDescent="0.25">
      <c r="A199" s="146">
        <f t="shared" si="10"/>
        <v>190</v>
      </c>
      <c r="B199" s="206" t="s">
        <v>87</v>
      </c>
      <c r="C199" s="346" t="s">
        <v>1292</v>
      </c>
      <c r="D199" s="439">
        <v>44069</v>
      </c>
      <c r="E199" s="441">
        <v>44078</v>
      </c>
      <c r="F199" s="456">
        <v>10950000</v>
      </c>
      <c r="G199" s="355">
        <v>14750000</v>
      </c>
      <c r="H199" s="350" t="s">
        <v>17</v>
      </c>
      <c r="I199" s="20"/>
      <c r="J199" s="20"/>
      <c r="K199" s="2"/>
      <c r="L199" s="20"/>
      <c r="M199" s="20"/>
      <c r="N199" s="101">
        <f t="shared" si="9"/>
        <v>3800000</v>
      </c>
      <c r="O199" s="357" t="s">
        <v>1335</v>
      </c>
    </row>
    <row r="200" spans="1:15" hidden="1" x14ac:dyDescent="0.25">
      <c r="A200" s="146">
        <f t="shared" si="10"/>
        <v>191</v>
      </c>
      <c r="B200" s="76" t="s">
        <v>309</v>
      </c>
      <c r="C200" s="346" t="s">
        <v>1293</v>
      </c>
      <c r="D200" s="439">
        <v>44069</v>
      </c>
      <c r="E200" s="441">
        <v>44069</v>
      </c>
      <c r="F200" s="450">
        <v>19250000</v>
      </c>
      <c r="G200" s="107">
        <v>21000000</v>
      </c>
      <c r="H200" s="350" t="s">
        <v>17</v>
      </c>
      <c r="I200" s="20"/>
      <c r="J200" s="20"/>
      <c r="K200" s="2"/>
      <c r="L200" s="20"/>
      <c r="M200" s="20"/>
      <c r="N200" s="101">
        <f t="shared" si="9"/>
        <v>1750000</v>
      </c>
      <c r="O200" s="351" t="s">
        <v>1255</v>
      </c>
    </row>
    <row r="201" spans="1:15" hidden="1" x14ac:dyDescent="0.25">
      <c r="A201" s="146">
        <f t="shared" si="10"/>
        <v>192</v>
      </c>
      <c r="B201" s="76" t="s">
        <v>309</v>
      </c>
      <c r="C201" s="346" t="s">
        <v>1294</v>
      </c>
      <c r="D201" s="439">
        <v>44069</v>
      </c>
      <c r="E201" s="441">
        <v>44114</v>
      </c>
      <c r="F201" s="450">
        <v>19250000</v>
      </c>
      <c r="G201" s="107">
        <v>21000000</v>
      </c>
      <c r="H201" s="350" t="s">
        <v>17</v>
      </c>
      <c r="I201" s="20"/>
      <c r="J201" s="85"/>
      <c r="K201" s="260"/>
      <c r="L201" s="20"/>
      <c r="M201" s="20"/>
      <c r="N201" s="101">
        <f t="shared" si="9"/>
        <v>1750000</v>
      </c>
      <c r="O201" s="375" t="s">
        <v>1524</v>
      </c>
    </row>
    <row r="202" spans="1:15" hidden="1" x14ac:dyDescent="0.25">
      <c r="A202" s="146">
        <f t="shared" si="10"/>
        <v>193</v>
      </c>
      <c r="B202" s="76" t="s">
        <v>309</v>
      </c>
      <c r="C202" s="346" t="s">
        <v>1295</v>
      </c>
      <c r="D202" s="439">
        <v>44069</v>
      </c>
      <c r="E202" s="441">
        <v>44070</v>
      </c>
      <c r="F202" s="450">
        <v>19250000</v>
      </c>
      <c r="G202" s="107">
        <v>20500000</v>
      </c>
      <c r="H202" s="350" t="s">
        <v>17</v>
      </c>
      <c r="I202" s="20"/>
      <c r="J202" s="85"/>
      <c r="K202" s="2"/>
      <c r="L202" s="20"/>
      <c r="M202" s="20"/>
      <c r="N202" s="101">
        <f t="shared" si="9"/>
        <v>1250000</v>
      </c>
      <c r="O202" s="351" t="s">
        <v>1255</v>
      </c>
    </row>
    <row r="203" spans="1:15" hidden="1" x14ac:dyDescent="0.25">
      <c r="A203" s="146">
        <f t="shared" si="10"/>
        <v>194</v>
      </c>
      <c r="B203" s="76" t="s">
        <v>435</v>
      </c>
      <c r="C203" s="346" t="s">
        <v>1296</v>
      </c>
      <c r="D203" s="439">
        <v>44069</v>
      </c>
      <c r="E203" s="441">
        <v>44074</v>
      </c>
      <c r="F203" s="450">
        <v>14650000</v>
      </c>
      <c r="G203" s="107">
        <v>16400000</v>
      </c>
      <c r="H203" s="350" t="s">
        <v>17</v>
      </c>
      <c r="I203" s="20"/>
      <c r="J203" s="20"/>
      <c r="K203" s="2"/>
      <c r="L203" s="20"/>
      <c r="M203" s="20"/>
      <c r="N203" s="101">
        <f t="shared" si="9"/>
        <v>1750000</v>
      </c>
      <c r="O203" s="357" t="s">
        <v>1335</v>
      </c>
    </row>
    <row r="204" spans="1:15" hidden="1" x14ac:dyDescent="0.25">
      <c r="A204" s="146">
        <f t="shared" si="10"/>
        <v>195</v>
      </c>
      <c r="B204" s="76" t="s">
        <v>435</v>
      </c>
      <c r="C204" s="346" t="s">
        <v>1297</v>
      </c>
      <c r="D204" s="439">
        <v>44069</v>
      </c>
      <c r="E204" s="441">
        <v>44069</v>
      </c>
      <c r="F204" s="450">
        <v>14650000</v>
      </c>
      <c r="G204" s="107">
        <v>17000000</v>
      </c>
      <c r="H204" s="350" t="s">
        <v>17</v>
      </c>
      <c r="I204" s="20"/>
      <c r="J204" s="20"/>
      <c r="K204" s="2"/>
      <c r="L204" s="20"/>
      <c r="M204" s="20"/>
      <c r="N204" s="101">
        <f t="shared" si="9"/>
        <v>2350000</v>
      </c>
      <c r="O204" s="351" t="s">
        <v>1255</v>
      </c>
    </row>
    <row r="205" spans="1:15" hidden="1" x14ac:dyDescent="0.25">
      <c r="A205" s="146">
        <f t="shared" si="10"/>
        <v>196</v>
      </c>
      <c r="B205" s="76" t="s">
        <v>435</v>
      </c>
      <c r="C205" s="346" t="s">
        <v>1298</v>
      </c>
      <c r="D205" s="439">
        <v>44069</v>
      </c>
      <c r="E205" s="441">
        <v>44069</v>
      </c>
      <c r="F205" s="450">
        <v>14650000</v>
      </c>
      <c r="G205" s="107">
        <v>17500000</v>
      </c>
      <c r="H205" s="350" t="s">
        <v>17</v>
      </c>
      <c r="I205" s="20"/>
      <c r="J205" s="20"/>
      <c r="K205" s="2"/>
      <c r="L205" s="20"/>
      <c r="M205" s="20"/>
      <c r="N205" s="101">
        <f t="shared" si="9"/>
        <v>2850000</v>
      </c>
      <c r="O205" s="351" t="s">
        <v>1255</v>
      </c>
    </row>
    <row r="206" spans="1:15" hidden="1" x14ac:dyDescent="0.25">
      <c r="A206" s="146">
        <f t="shared" si="10"/>
        <v>197</v>
      </c>
      <c r="B206" s="76" t="s">
        <v>435</v>
      </c>
      <c r="C206" s="346" t="s">
        <v>1299</v>
      </c>
      <c r="D206" s="439">
        <v>44069</v>
      </c>
      <c r="E206" s="441">
        <v>44071</v>
      </c>
      <c r="F206" s="450">
        <v>14650000</v>
      </c>
      <c r="G206" s="107">
        <f>16800000+500000</f>
        <v>17300000</v>
      </c>
      <c r="H206" s="350" t="s">
        <v>17</v>
      </c>
      <c r="I206" s="20"/>
      <c r="J206" s="20"/>
      <c r="K206" s="2"/>
      <c r="L206" s="20"/>
      <c r="M206" s="20"/>
      <c r="N206" s="101">
        <f t="shared" si="9"/>
        <v>2650000</v>
      </c>
      <c r="O206" s="351" t="s">
        <v>1255</v>
      </c>
    </row>
    <row r="207" spans="1:15" hidden="1" x14ac:dyDescent="0.25">
      <c r="A207" s="146">
        <f t="shared" si="10"/>
        <v>198</v>
      </c>
      <c r="B207" s="76" t="s">
        <v>435</v>
      </c>
      <c r="C207" s="346" t="s">
        <v>1300</v>
      </c>
      <c r="D207" s="439">
        <v>44069</v>
      </c>
      <c r="E207" s="441">
        <v>44069</v>
      </c>
      <c r="F207" s="450">
        <v>14650000</v>
      </c>
      <c r="G207" s="107">
        <v>17500000</v>
      </c>
      <c r="H207" s="350" t="s">
        <v>17</v>
      </c>
      <c r="I207" s="20"/>
      <c r="J207" s="20"/>
      <c r="K207" s="2"/>
      <c r="L207" s="20"/>
      <c r="M207" s="20"/>
      <c r="N207" s="101">
        <f t="shared" si="9"/>
        <v>2850000</v>
      </c>
      <c r="O207" s="351" t="s">
        <v>1255</v>
      </c>
    </row>
    <row r="208" spans="1:15" hidden="1" x14ac:dyDescent="0.25">
      <c r="A208" s="146">
        <f t="shared" si="10"/>
        <v>199</v>
      </c>
      <c r="B208" s="76" t="s">
        <v>936</v>
      </c>
      <c r="C208" s="346" t="s">
        <v>1301</v>
      </c>
      <c r="D208" s="439">
        <v>44069</v>
      </c>
      <c r="E208" s="441">
        <v>44070</v>
      </c>
      <c r="F208" s="450">
        <v>34000000</v>
      </c>
      <c r="G208" s="107">
        <v>36500000</v>
      </c>
      <c r="H208" s="350" t="s">
        <v>17</v>
      </c>
      <c r="I208" s="20"/>
      <c r="J208" s="85"/>
      <c r="K208" s="2"/>
      <c r="L208" s="20"/>
      <c r="M208" s="20"/>
      <c r="N208" s="94">
        <f t="shared" si="9"/>
        <v>2500000</v>
      </c>
      <c r="O208" s="351" t="s">
        <v>1255</v>
      </c>
    </row>
    <row r="209" spans="1:15" hidden="1" x14ac:dyDescent="0.25">
      <c r="A209" s="146">
        <f t="shared" si="10"/>
        <v>200</v>
      </c>
      <c r="B209" s="76" t="s">
        <v>936</v>
      </c>
      <c r="C209" s="388" t="s">
        <v>1302</v>
      </c>
      <c r="D209" s="439">
        <v>44069</v>
      </c>
      <c r="E209" s="441">
        <v>44264</v>
      </c>
      <c r="F209" s="450">
        <v>34000000</v>
      </c>
      <c r="G209" s="107">
        <v>25000000</v>
      </c>
      <c r="H209" s="488" t="s">
        <v>17</v>
      </c>
      <c r="I209" s="20"/>
      <c r="J209" s="20"/>
      <c r="K209" s="2"/>
      <c r="L209" s="20"/>
      <c r="M209" s="20"/>
      <c r="N209" s="101">
        <f t="shared" si="9"/>
        <v>-9000000</v>
      </c>
      <c r="O209" s="491" t="s">
        <v>2562</v>
      </c>
    </row>
    <row r="210" spans="1:15" hidden="1" x14ac:dyDescent="0.25">
      <c r="A210" s="146">
        <f t="shared" si="10"/>
        <v>201</v>
      </c>
      <c r="B210" s="76" t="s">
        <v>936</v>
      </c>
      <c r="C210" s="346" t="s">
        <v>1303</v>
      </c>
      <c r="D210" s="439">
        <v>44069</v>
      </c>
      <c r="E210" s="441">
        <v>44072</v>
      </c>
      <c r="F210" s="450">
        <v>34000000</v>
      </c>
      <c r="G210" s="107">
        <v>36000000</v>
      </c>
      <c r="H210" s="350" t="s">
        <v>17</v>
      </c>
      <c r="I210" s="20"/>
      <c r="J210" s="20"/>
      <c r="K210" s="2"/>
      <c r="L210" s="20"/>
      <c r="M210" s="20"/>
      <c r="N210" s="94">
        <f t="shared" si="9"/>
        <v>2000000</v>
      </c>
      <c r="O210" s="351" t="s">
        <v>1255</v>
      </c>
    </row>
    <row r="211" spans="1:15" hidden="1" x14ac:dyDescent="0.25">
      <c r="A211" s="146">
        <f t="shared" si="10"/>
        <v>202</v>
      </c>
      <c r="B211" s="76" t="s">
        <v>936</v>
      </c>
      <c r="C211" s="346" t="s">
        <v>1304</v>
      </c>
      <c r="D211" s="439">
        <v>44069</v>
      </c>
      <c r="E211" s="441">
        <v>44114</v>
      </c>
      <c r="F211" s="450">
        <v>34000000</v>
      </c>
      <c r="G211" s="107">
        <v>36500000</v>
      </c>
      <c r="H211" s="350" t="s">
        <v>17</v>
      </c>
      <c r="I211" s="20"/>
      <c r="J211" s="85"/>
      <c r="K211" s="260"/>
      <c r="L211" s="20"/>
      <c r="M211" s="20"/>
      <c r="N211" s="94">
        <f t="shared" si="9"/>
        <v>2500000</v>
      </c>
      <c r="O211" s="375" t="s">
        <v>1524</v>
      </c>
    </row>
    <row r="212" spans="1:15" hidden="1" x14ac:dyDescent="0.25">
      <c r="A212" s="146">
        <f t="shared" si="10"/>
        <v>203</v>
      </c>
      <c r="B212" s="76" t="s">
        <v>936</v>
      </c>
      <c r="C212" s="388" t="s">
        <v>1305</v>
      </c>
      <c r="D212" s="439">
        <v>44069</v>
      </c>
      <c r="E212" s="441">
        <v>44216</v>
      </c>
      <c r="F212" s="450">
        <v>34000000</v>
      </c>
      <c r="G212" s="107">
        <v>30000000</v>
      </c>
      <c r="H212" s="120" t="s">
        <v>17</v>
      </c>
      <c r="I212" s="20"/>
      <c r="J212" s="20"/>
      <c r="K212" s="2"/>
      <c r="L212" s="20"/>
      <c r="M212" s="20"/>
      <c r="N212" s="94">
        <f t="shared" si="9"/>
        <v>-4000000</v>
      </c>
      <c r="O212" s="470" t="s">
        <v>2258</v>
      </c>
    </row>
    <row r="213" spans="1:15" hidden="1" x14ac:dyDescent="0.25">
      <c r="A213" s="146">
        <f t="shared" si="10"/>
        <v>204</v>
      </c>
      <c r="B213" s="76" t="s">
        <v>434</v>
      </c>
      <c r="C213" s="388" t="s">
        <v>1606</v>
      </c>
      <c r="D213" s="439">
        <v>44132</v>
      </c>
      <c r="E213" s="445">
        <v>44137</v>
      </c>
      <c r="F213" s="450">
        <v>17000000</v>
      </c>
      <c r="G213" s="157">
        <v>17000000</v>
      </c>
      <c r="H213" s="313" t="s">
        <v>17</v>
      </c>
      <c r="I213" s="20"/>
      <c r="J213" s="20"/>
      <c r="K213" s="2"/>
      <c r="L213" s="20"/>
      <c r="M213" s="20"/>
      <c r="N213" s="101">
        <f t="shared" si="9"/>
        <v>0</v>
      </c>
      <c r="O213" s="391" t="s">
        <v>1608</v>
      </c>
    </row>
    <row r="214" spans="1:15" hidden="1" x14ac:dyDescent="0.25">
      <c r="A214" s="146">
        <f t="shared" si="10"/>
        <v>205</v>
      </c>
      <c r="B214" s="76" t="s">
        <v>87</v>
      </c>
      <c r="C214" s="346" t="s">
        <v>1607</v>
      </c>
      <c r="D214" s="439">
        <v>44137</v>
      </c>
      <c r="E214" s="441">
        <v>44142</v>
      </c>
      <c r="F214" s="450">
        <v>13400000</v>
      </c>
      <c r="G214" s="107">
        <v>13500000</v>
      </c>
      <c r="H214" s="313" t="s">
        <v>17</v>
      </c>
      <c r="I214" s="20"/>
      <c r="J214" s="20"/>
      <c r="K214" s="2"/>
      <c r="L214" s="20"/>
      <c r="M214" s="20"/>
      <c r="N214" s="94">
        <f t="shared" si="9"/>
        <v>100000</v>
      </c>
      <c r="O214" s="391" t="s">
        <v>1608</v>
      </c>
    </row>
    <row r="215" spans="1:15" hidden="1" x14ac:dyDescent="0.25">
      <c r="A215" s="146">
        <f t="shared" si="10"/>
        <v>206</v>
      </c>
      <c r="B215" s="76" t="s">
        <v>87</v>
      </c>
      <c r="C215" s="346" t="s">
        <v>1663</v>
      </c>
      <c r="D215" s="439">
        <v>44150</v>
      </c>
      <c r="E215" s="439">
        <v>44150</v>
      </c>
      <c r="F215" s="450">
        <v>12500000</v>
      </c>
      <c r="G215" s="107">
        <v>15250000</v>
      </c>
      <c r="H215" s="350" t="s">
        <v>17</v>
      </c>
      <c r="I215" s="20"/>
      <c r="J215" s="20"/>
      <c r="K215" s="2"/>
      <c r="L215" s="20"/>
      <c r="M215" s="20"/>
      <c r="N215" s="20">
        <f t="shared" si="9"/>
        <v>2750000</v>
      </c>
      <c r="O215" s="393" t="s">
        <v>1635</v>
      </c>
    </row>
    <row r="216" spans="1:15" hidden="1" x14ac:dyDescent="0.25">
      <c r="A216" s="146">
        <f t="shared" si="10"/>
        <v>207</v>
      </c>
      <c r="B216" s="76" t="s">
        <v>87</v>
      </c>
      <c r="C216" s="346" t="s">
        <v>1664</v>
      </c>
      <c r="D216" s="439">
        <v>44150</v>
      </c>
      <c r="E216" s="439">
        <v>44151</v>
      </c>
      <c r="F216" s="450">
        <v>10750000</v>
      </c>
      <c r="G216" s="107">
        <v>12000000</v>
      </c>
      <c r="H216" s="350" t="s">
        <v>17</v>
      </c>
      <c r="I216" s="20"/>
      <c r="J216" s="20"/>
      <c r="K216" s="2"/>
      <c r="L216" s="20"/>
      <c r="M216" s="20"/>
      <c r="N216" s="20">
        <f t="shared" si="9"/>
        <v>1250000</v>
      </c>
      <c r="O216" s="395" t="s">
        <v>1693</v>
      </c>
    </row>
    <row r="217" spans="1:15" hidden="1" x14ac:dyDescent="0.25">
      <c r="A217" s="146">
        <f t="shared" si="10"/>
        <v>208</v>
      </c>
      <c r="B217" s="76" t="s">
        <v>87</v>
      </c>
      <c r="C217" s="346" t="s">
        <v>1665</v>
      </c>
      <c r="D217" s="439">
        <v>44150</v>
      </c>
      <c r="E217" s="441">
        <v>44156</v>
      </c>
      <c r="F217" s="450">
        <v>12500000</v>
      </c>
      <c r="G217" s="107">
        <v>16000000</v>
      </c>
      <c r="H217" s="350" t="s">
        <v>17</v>
      </c>
      <c r="I217" s="20"/>
      <c r="J217" s="85"/>
      <c r="K217" s="2"/>
      <c r="L217" s="20"/>
      <c r="M217" s="20"/>
      <c r="N217" s="152">
        <f t="shared" si="9"/>
        <v>3500000</v>
      </c>
      <c r="O217" s="395" t="s">
        <v>1693</v>
      </c>
    </row>
    <row r="218" spans="1:15" hidden="1" x14ac:dyDescent="0.25">
      <c r="A218" s="146">
        <f t="shared" si="10"/>
        <v>209</v>
      </c>
      <c r="B218" s="76" t="s">
        <v>87</v>
      </c>
      <c r="C218" s="346" t="s">
        <v>1666</v>
      </c>
      <c r="D218" s="439">
        <v>44150</v>
      </c>
      <c r="E218" s="441">
        <v>44160</v>
      </c>
      <c r="F218" s="450">
        <v>12500000</v>
      </c>
      <c r="G218" s="107">
        <v>16000000</v>
      </c>
      <c r="H218" s="396" t="s">
        <v>17</v>
      </c>
      <c r="I218" s="20"/>
      <c r="J218" s="20"/>
      <c r="K218" s="2"/>
      <c r="L218" s="20"/>
      <c r="M218" s="20"/>
      <c r="N218" s="152">
        <f t="shared" si="9"/>
        <v>3500000</v>
      </c>
      <c r="O218" s="401" t="s">
        <v>1694</v>
      </c>
    </row>
    <row r="219" spans="1:15" hidden="1" x14ac:dyDescent="0.25">
      <c r="A219" s="146">
        <f t="shared" si="10"/>
        <v>210</v>
      </c>
      <c r="B219" s="76" t="s">
        <v>435</v>
      </c>
      <c r="C219" s="346" t="s">
        <v>1667</v>
      </c>
      <c r="D219" s="439">
        <v>44150</v>
      </c>
      <c r="E219" s="441">
        <v>44155</v>
      </c>
      <c r="F219" s="450">
        <v>14850000</v>
      </c>
      <c r="G219" s="107">
        <v>16000000</v>
      </c>
      <c r="H219" s="350" t="s">
        <v>17</v>
      </c>
      <c r="I219" s="20"/>
      <c r="J219" s="20"/>
      <c r="K219" s="2"/>
      <c r="L219" s="20"/>
      <c r="M219" s="20"/>
      <c r="N219" s="20">
        <f t="shared" si="9"/>
        <v>1150000</v>
      </c>
      <c r="O219" s="395" t="s">
        <v>1693</v>
      </c>
    </row>
    <row r="220" spans="1:15" hidden="1" x14ac:dyDescent="0.25">
      <c r="A220" s="146">
        <f t="shared" si="10"/>
        <v>211</v>
      </c>
      <c r="B220" s="76" t="s">
        <v>87</v>
      </c>
      <c r="C220" s="346" t="s">
        <v>1668</v>
      </c>
      <c r="D220" s="439">
        <v>44150</v>
      </c>
      <c r="E220" s="439">
        <v>44150</v>
      </c>
      <c r="F220" s="450">
        <v>10750000</v>
      </c>
      <c r="G220" s="107">
        <v>12350000</v>
      </c>
      <c r="H220" s="350" t="s">
        <v>17</v>
      </c>
      <c r="I220" s="20"/>
      <c r="J220" s="20"/>
      <c r="K220" s="2"/>
      <c r="L220" s="20"/>
      <c r="M220" s="20"/>
      <c r="N220" s="20">
        <f t="shared" si="9"/>
        <v>1600000</v>
      </c>
      <c r="O220" s="393" t="s">
        <v>1635</v>
      </c>
    </row>
    <row r="221" spans="1:15" hidden="1" x14ac:dyDescent="0.25">
      <c r="A221" s="146">
        <f t="shared" si="10"/>
        <v>212</v>
      </c>
      <c r="B221" s="76" t="s">
        <v>87</v>
      </c>
      <c r="C221" s="346" t="s">
        <v>1669</v>
      </c>
      <c r="D221" s="439">
        <v>44150</v>
      </c>
      <c r="E221" s="439">
        <v>44151</v>
      </c>
      <c r="F221" s="450">
        <v>10750000</v>
      </c>
      <c r="G221" s="107">
        <v>12000000</v>
      </c>
      <c r="H221" s="350" t="s">
        <v>17</v>
      </c>
      <c r="I221" s="20"/>
      <c r="J221" s="20"/>
      <c r="K221" s="2"/>
      <c r="L221" s="20"/>
      <c r="M221" s="20"/>
      <c r="N221" s="20">
        <f t="shared" si="9"/>
        <v>1250000</v>
      </c>
      <c r="O221" s="395" t="s">
        <v>1693</v>
      </c>
    </row>
    <row r="222" spans="1:15" hidden="1" x14ac:dyDescent="0.25">
      <c r="A222" s="146">
        <f t="shared" si="10"/>
        <v>213</v>
      </c>
      <c r="B222" s="76" t="s">
        <v>435</v>
      </c>
      <c r="C222" s="346" t="s">
        <v>1670</v>
      </c>
      <c r="D222" s="439">
        <v>44150</v>
      </c>
      <c r="E222" s="441">
        <v>44168</v>
      </c>
      <c r="F222" s="450">
        <v>14850000</v>
      </c>
      <c r="G222" s="107">
        <v>16000000</v>
      </c>
      <c r="H222" s="120" t="s">
        <v>17</v>
      </c>
      <c r="I222" s="20"/>
      <c r="J222" s="20"/>
      <c r="K222" s="2"/>
      <c r="L222" s="20"/>
      <c r="M222" s="20"/>
      <c r="N222" s="152">
        <f t="shared" si="9"/>
        <v>1150000</v>
      </c>
      <c r="O222" s="403" t="s">
        <v>1838</v>
      </c>
    </row>
    <row r="223" spans="1:15" hidden="1" x14ac:dyDescent="0.25">
      <c r="A223" s="146">
        <f t="shared" si="10"/>
        <v>214</v>
      </c>
      <c r="B223" s="76" t="s">
        <v>87</v>
      </c>
      <c r="C223" s="346" t="s">
        <v>1671</v>
      </c>
      <c r="D223" s="439">
        <v>44150</v>
      </c>
      <c r="E223" s="441">
        <v>44154</v>
      </c>
      <c r="F223" s="450">
        <v>10750000</v>
      </c>
      <c r="G223" s="107">
        <v>11500000</v>
      </c>
      <c r="H223" s="396" t="s">
        <v>17</v>
      </c>
      <c r="I223" s="20"/>
      <c r="J223" s="20"/>
      <c r="K223" s="2"/>
      <c r="L223" s="20"/>
      <c r="M223" s="20"/>
      <c r="N223" s="20">
        <f t="shared" si="9"/>
        <v>750000</v>
      </c>
      <c r="O223" s="395" t="s">
        <v>1693</v>
      </c>
    </row>
    <row r="224" spans="1:15" hidden="1" x14ac:dyDescent="0.25">
      <c r="A224" s="146">
        <f t="shared" si="10"/>
        <v>215</v>
      </c>
      <c r="B224" s="76" t="s">
        <v>87</v>
      </c>
      <c r="C224" s="346" t="s">
        <v>1672</v>
      </c>
      <c r="D224" s="439">
        <v>44150</v>
      </c>
      <c r="E224" s="441">
        <v>44151</v>
      </c>
      <c r="F224" s="450">
        <v>10750000</v>
      </c>
      <c r="G224" s="107">
        <v>12500000</v>
      </c>
      <c r="H224" s="396" t="s">
        <v>17</v>
      </c>
      <c r="I224" s="107"/>
      <c r="J224" s="107"/>
      <c r="K224" s="128"/>
      <c r="L224" s="20"/>
      <c r="M224" s="20"/>
      <c r="N224" s="20">
        <f t="shared" si="9"/>
        <v>1750000</v>
      </c>
      <c r="O224" s="401" t="s">
        <v>1694</v>
      </c>
    </row>
    <row r="225" spans="1:16" hidden="1" x14ac:dyDescent="0.25">
      <c r="A225" s="146">
        <f t="shared" si="10"/>
        <v>216</v>
      </c>
      <c r="B225" s="76" t="s">
        <v>435</v>
      </c>
      <c r="C225" s="346" t="s">
        <v>1673</v>
      </c>
      <c r="D225" s="439">
        <v>44150</v>
      </c>
      <c r="E225" s="441">
        <v>44156</v>
      </c>
      <c r="F225" s="450">
        <v>14850000</v>
      </c>
      <c r="G225" s="107">
        <v>16000000</v>
      </c>
      <c r="H225" s="350" t="s">
        <v>17</v>
      </c>
      <c r="I225" s="20"/>
      <c r="J225" s="85"/>
      <c r="K225" s="2"/>
      <c r="L225" s="20"/>
      <c r="M225" s="20"/>
      <c r="N225" s="20">
        <f t="shared" si="9"/>
        <v>1150000</v>
      </c>
      <c r="O225" s="395" t="s">
        <v>1693</v>
      </c>
    </row>
    <row r="226" spans="1:16" hidden="1" x14ac:dyDescent="0.25">
      <c r="A226" s="146">
        <f t="shared" si="10"/>
        <v>217</v>
      </c>
      <c r="B226" s="76" t="s">
        <v>434</v>
      </c>
      <c r="C226" s="346" t="s">
        <v>1674</v>
      </c>
      <c r="D226" s="439">
        <v>44150</v>
      </c>
      <c r="E226" s="441">
        <v>44151</v>
      </c>
      <c r="F226" s="450">
        <v>14850000</v>
      </c>
      <c r="G226" s="107">
        <v>16250000</v>
      </c>
      <c r="H226" s="350" t="s">
        <v>17</v>
      </c>
      <c r="I226" s="20"/>
      <c r="J226" s="20"/>
      <c r="K226" s="2"/>
      <c r="L226" s="20"/>
      <c r="M226" s="20"/>
      <c r="N226" s="20">
        <f t="shared" si="9"/>
        <v>1400000</v>
      </c>
      <c r="O226" s="395" t="s">
        <v>1693</v>
      </c>
    </row>
    <row r="227" spans="1:16" hidden="1" x14ac:dyDescent="0.25">
      <c r="A227" s="146">
        <f t="shared" si="10"/>
        <v>218</v>
      </c>
      <c r="B227" s="76" t="s">
        <v>434</v>
      </c>
      <c r="C227" s="346" t="s">
        <v>1675</v>
      </c>
      <c r="D227" s="439">
        <v>44150</v>
      </c>
      <c r="E227" s="441">
        <v>44165</v>
      </c>
      <c r="F227" s="450">
        <v>14850000</v>
      </c>
      <c r="G227" s="107">
        <v>16250000</v>
      </c>
      <c r="H227" s="396" t="s">
        <v>17</v>
      </c>
      <c r="I227" s="20"/>
      <c r="J227" s="20"/>
      <c r="K227" s="2"/>
      <c r="L227" s="20"/>
      <c r="M227" s="20"/>
      <c r="N227" s="20">
        <f t="shared" si="9"/>
        <v>1400000</v>
      </c>
      <c r="O227" s="401" t="s">
        <v>1694</v>
      </c>
    </row>
    <row r="228" spans="1:16" hidden="1" x14ac:dyDescent="0.25">
      <c r="A228" s="146">
        <f t="shared" si="10"/>
        <v>219</v>
      </c>
      <c r="B228" s="76" t="s">
        <v>435</v>
      </c>
      <c r="C228" s="346" t="s">
        <v>1676</v>
      </c>
      <c r="D228" s="439">
        <v>44150</v>
      </c>
      <c r="E228" s="439">
        <v>44152</v>
      </c>
      <c r="F228" s="450">
        <v>14850000</v>
      </c>
      <c r="G228" s="107">
        <v>18500000</v>
      </c>
      <c r="H228" s="350" t="s">
        <v>17</v>
      </c>
      <c r="I228" s="20"/>
      <c r="J228" s="20"/>
      <c r="K228" s="2"/>
      <c r="L228" s="20"/>
      <c r="M228" s="20"/>
      <c r="N228" s="20">
        <f t="shared" si="9"/>
        <v>3650000</v>
      </c>
      <c r="O228" s="395" t="s">
        <v>1693</v>
      </c>
    </row>
    <row r="229" spans="1:16" hidden="1" x14ac:dyDescent="0.25">
      <c r="A229" s="146">
        <f t="shared" si="10"/>
        <v>220</v>
      </c>
      <c r="B229" s="76" t="s">
        <v>87</v>
      </c>
      <c r="C229" s="346" t="s">
        <v>1677</v>
      </c>
      <c r="D229" s="439">
        <v>44150</v>
      </c>
      <c r="E229" s="439">
        <v>44150</v>
      </c>
      <c r="F229" s="450">
        <v>10750000</v>
      </c>
      <c r="G229" s="107">
        <v>12000000</v>
      </c>
      <c r="H229" s="350" t="s">
        <v>17</v>
      </c>
      <c r="I229" s="20"/>
      <c r="J229" s="20"/>
      <c r="K229" s="2"/>
      <c r="L229" s="20"/>
      <c r="M229" s="20"/>
      <c r="N229" s="20">
        <f t="shared" si="9"/>
        <v>1250000</v>
      </c>
      <c r="O229" s="393" t="s">
        <v>1635</v>
      </c>
    </row>
    <row r="230" spans="1:16" hidden="1" x14ac:dyDescent="0.25">
      <c r="A230" s="146">
        <f t="shared" si="10"/>
        <v>221</v>
      </c>
      <c r="B230" s="76" t="s">
        <v>435</v>
      </c>
      <c r="C230" s="346" t="s">
        <v>1678</v>
      </c>
      <c r="D230" s="439">
        <v>44150</v>
      </c>
      <c r="E230" s="439">
        <v>44151</v>
      </c>
      <c r="F230" s="450">
        <v>14850000</v>
      </c>
      <c r="G230" s="107">
        <v>18725000</v>
      </c>
      <c r="H230" s="350" t="s">
        <v>17</v>
      </c>
      <c r="I230" s="20"/>
      <c r="J230" s="20"/>
      <c r="K230" s="2"/>
      <c r="L230" s="20"/>
      <c r="M230" s="20"/>
      <c r="N230" s="20">
        <f t="shared" si="9"/>
        <v>3875000</v>
      </c>
      <c r="O230" s="395" t="s">
        <v>1693</v>
      </c>
    </row>
    <row r="231" spans="1:16" hidden="1" x14ac:dyDescent="0.25">
      <c r="A231" s="146">
        <f t="shared" si="10"/>
        <v>222</v>
      </c>
      <c r="B231" s="76" t="s">
        <v>87</v>
      </c>
      <c r="C231" s="346" t="s">
        <v>1679</v>
      </c>
      <c r="D231" s="439">
        <v>44150</v>
      </c>
      <c r="E231" s="441">
        <v>44157</v>
      </c>
      <c r="F231" s="450">
        <v>10750000</v>
      </c>
      <c r="G231" s="107">
        <v>13500000</v>
      </c>
      <c r="H231" s="350" t="s">
        <v>17</v>
      </c>
      <c r="I231" s="20"/>
      <c r="J231" s="20"/>
      <c r="K231" s="2"/>
      <c r="L231" s="20"/>
      <c r="M231" s="20"/>
      <c r="N231" s="20">
        <f t="shared" si="9"/>
        <v>2750000</v>
      </c>
      <c r="O231" s="395" t="s">
        <v>1693</v>
      </c>
    </row>
    <row r="232" spans="1:16" hidden="1" x14ac:dyDescent="0.25">
      <c r="A232" s="146">
        <f t="shared" si="10"/>
        <v>223</v>
      </c>
      <c r="B232" s="76" t="s">
        <v>435</v>
      </c>
      <c r="C232" s="346" t="s">
        <v>1680</v>
      </c>
      <c r="D232" s="439">
        <v>44150</v>
      </c>
      <c r="E232" s="441">
        <v>44156</v>
      </c>
      <c r="F232" s="450">
        <v>14850000</v>
      </c>
      <c r="G232" s="107">
        <v>16850000</v>
      </c>
      <c r="H232" s="350" t="s">
        <v>17</v>
      </c>
      <c r="I232" s="20"/>
      <c r="J232" s="20"/>
      <c r="K232" s="2"/>
      <c r="L232" s="20"/>
      <c r="M232" s="20"/>
      <c r="N232" s="20">
        <f t="shared" si="9"/>
        <v>2000000</v>
      </c>
      <c r="O232" s="395" t="s">
        <v>1693</v>
      </c>
    </row>
    <row r="233" spans="1:16" s="154" customFormat="1" hidden="1" x14ac:dyDescent="0.25">
      <c r="A233" s="146">
        <f t="shared" si="10"/>
        <v>224</v>
      </c>
      <c r="B233" s="76" t="s">
        <v>87</v>
      </c>
      <c r="C233" s="346" t="s">
        <v>1681</v>
      </c>
      <c r="D233" s="439">
        <v>44150</v>
      </c>
      <c r="E233" s="439">
        <v>44150</v>
      </c>
      <c r="F233" s="450">
        <v>10750000</v>
      </c>
      <c r="G233" s="107">
        <v>12000000</v>
      </c>
      <c r="H233" s="350" t="s">
        <v>17</v>
      </c>
      <c r="I233" s="20"/>
      <c r="J233" s="20"/>
      <c r="K233" s="2"/>
      <c r="L233" s="20"/>
      <c r="M233" s="20"/>
      <c r="N233" s="20">
        <f t="shared" si="9"/>
        <v>1250000</v>
      </c>
      <c r="O233" s="393" t="s">
        <v>1635</v>
      </c>
    </row>
    <row r="234" spans="1:16" hidden="1" x14ac:dyDescent="0.25">
      <c r="A234" s="146">
        <f t="shared" si="10"/>
        <v>225</v>
      </c>
      <c r="B234" s="76" t="s">
        <v>87</v>
      </c>
      <c r="C234" s="346" t="s">
        <v>1682</v>
      </c>
      <c r="D234" s="439">
        <v>44150</v>
      </c>
      <c r="E234" s="439">
        <v>44150</v>
      </c>
      <c r="F234" s="450">
        <v>10750000</v>
      </c>
      <c r="G234" s="107">
        <v>11350000</v>
      </c>
      <c r="H234" s="350" t="s">
        <v>17</v>
      </c>
      <c r="I234" s="20"/>
      <c r="J234" s="20"/>
      <c r="K234" s="2"/>
      <c r="L234" s="20"/>
      <c r="M234" s="20"/>
      <c r="N234" s="20">
        <f t="shared" si="9"/>
        <v>600000</v>
      </c>
      <c r="O234" s="393" t="s">
        <v>1635</v>
      </c>
      <c r="P234" s="79"/>
    </row>
    <row r="235" spans="1:16" hidden="1" x14ac:dyDescent="0.25">
      <c r="A235" s="146">
        <f t="shared" si="10"/>
        <v>226</v>
      </c>
      <c r="B235" s="76" t="s">
        <v>435</v>
      </c>
      <c r="C235" s="346" t="s">
        <v>1683</v>
      </c>
      <c r="D235" s="439">
        <v>44150</v>
      </c>
      <c r="E235" s="439">
        <v>44151</v>
      </c>
      <c r="F235" s="450">
        <v>14850000</v>
      </c>
      <c r="G235" s="107">
        <v>18000000</v>
      </c>
      <c r="H235" s="350" t="s">
        <v>17</v>
      </c>
      <c r="I235" s="20"/>
      <c r="J235" s="20"/>
      <c r="K235" s="2"/>
      <c r="L235" s="20"/>
      <c r="M235" s="20"/>
      <c r="N235" s="20">
        <f t="shared" si="9"/>
        <v>3150000</v>
      </c>
      <c r="O235" s="395" t="s">
        <v>1693</v>
      </c>
      <c r="P235" s="79"/>
    </row>
    <row r="236" spans="1:16" hidden="1" x14ac:dyDescent="0.25">
      <c r="A236" s="146">
        <f t="shared" si="10"/>
        <v>227</v>
      </c>
      <c r="B236" s="76" t="s">
        <v>87</v>
      </c>
      <c r="C236" s="346" t="s">
        <v>1684</v>
      </c>
      <c r="D236" s="439">
        <v>44150</v>
      </c>
      <c r="E236" s="439">
        <v>44150</v>
      </c>
      <c r="F236" s="450">
        <v>10750000</v>
      </c>
      <c r="G236" s="107">
        <v>12500000</v>
      </c>
      <c r="H236" s="350" t="s">
        <v>17</v>
      </c>
      <c r="I236" s="20"/>
      <c r="J236" s="20"/>
      <c r="K236" s="2"/>
      <c r="L236" s="20"/>
      <c r="M236" s="20"/>
      <c r="N236" s="20">
        <f t="shared" si="9"/>
        <v>1750000</v>
      </c>
      <c r="O236" s="393" t="s">
        <v>1635</v>
      </c>
    </row>
    <row r="237" spans="1:16" hidden="1" x14ac:dyDescent="0.25">
      <c r="A237" s="146">
        <f t="shared" si="10"/>
        <v>228</v>
      </c>
      <c r="B237" s="76" t="s">
        <v>435</v>
      </c>
      <c r="C237" s="397" t="s">
        <v>1690</v>
      </c>
      <c r="D237" s="439">
        <v>44150</v>
      </c>
      <c r="E237" s="439">
        <v>44150</v>
      </c>
      <c r="F237" s="450">
        <v>14850000</v>
      </c>
      <c r="G237" s="107">
        <v>16750000</v>
      </c>
      <c r="H237" s="350" t="s">
        <v>17</v>
      </c>
      <c r="I237" s="20"/>
      <c r="J237" s="20"/>
      <c r="K237" s="2"/>
      <c r="L237" s="20"/>
      <c r="M237" s="20"/>
      <c r="N237" s="152">
        <f t="shared" si="9"/>
        <v>1900000</v>
      </c>
      <c r="O237" s="393" t="s">
        <v>1635</v>
      </c>
    </row>
    <row r="238" spans="1:16" hidden="1" x14ac:dyDescent="0.25">
      <c r="A238" s="146">
        <f t="shared" si="10"/>
        <v>229</v>
      </c>
      <c r="B238" s="76" t="s">
        <v>87</v>
      </c>
      <c r="C238" s="346" t="s">
        <v>1686</v>
      </c>
      <c r="D238" s="439">
        <v>44150</v>
      </c>
      <c r="E238" s="439">
        <v>44150</v>
      </c>
      <c r="F238" s="450">
        <v>10750000</v>
      </c>
      <c r="G238" s="107">
        <v>12000000</v>
      </c>
      <c r="H238" s="350" t="s">
        <v>17</v>
      </c>
      <c r="I238" s="20"/>
      <c r="J238" s="20"/>
      <c r="K238" s="2"/>
      <c r="L238" s="20"/>
      <c r="M238" s="20"/>
      <c r="N238" s="20">
        <f t="shared" si="9"/>
        <v>1250000</v>
      </c>
      <c r="O238" s="393" t="s">
        <v>1635</v>
      </c>
    </row>
    <row r="239" spans="1:16" hidden="1" x14ac:dyDescent="0.25">
      <c r="A239" s="146">
        <f t="shared" si="10"/>
        <v>230</v>
      </c>
      <c r="B239" s="76" t="s">
        <v>435</v>
      </c>
      <c r="C239" s="346" t="s">
        <v>1687</v>
      </c>
      <c r="D239" s="439">
        <v>44150</v>
      </c>
      <c r="E239" s="441">
        <v>44217</v>
      </c>
      <c r="F239" s="450">
        <v>14850000</v>
      </c>
      <c r="G239" s="107">
        <v>15000000</v>
      </c>
      <c r="H239" s="120" t="s">
        <v>17</v>
      </c>
      <c r="I239" s="20"/>
      <c r="J239" s="20"/>
      <c r="K239" s="2"/>
      <c r="L239" s="20"/>
      <c r="M239" s="20"/>
      <c r="N239" s="20">
        <f t="shared" ref="N239:N303" si="11">G239-F239</f>
        <v>150000</v>
      </c>
      <c r="O239" s="470" t="s">
        <v>2258</v>
      </c>
    </row>
    <row r="240" spans="1:16" hidden="1" x14ac:dyDescent="0.25">
      <c r="A240" s="146">
        <f t="shared" si="10"/>
        <v>231</v>
      </c>
      <c r="B240" s="76" t="s">
        <v>87</v>
      </c>
      <c r="C240" s="346" t="s">
        <v>1688</v>
      </c>
      <c r="D240" s="439">
        <v>44150</v>
      </c>
      <c r="E240" s="441">
        <v>44156</v>
      </c>
      <c r="F240" s="450">
        <v>10750000</v>
      </c>
      <c r="G240" s="107">
        <v>11775000</v>
      </c>
      <c r="H240" s="350" t="s">
        <v>17</v>
      </c>
      <c r="I240" s="20"/>
      <c r="J240" s="20"/>
      <c r="K240" s="2"/>
      <c r="L240" s="20"/>
      <c r="M240" s="20"/>
      <c r="N240" s="20">
        <f t="shared" si="11"/>
        <v>1025000</v>
      </c>
      <c r="O240" s="395" t="s">
        <v>1693</v>
      </c>
    </row>
    <row r="241" spans="1:16" hidden="1" x14ac:dyDescent="0.25">
      <c r="A241" s="146">
        <f t="shared" si="10"/>
        <v>232</v>
      </c>
      <c r="B241" s="76" t="s">
        <v>87</v>
      </c>
      <c r="C241" s="346" t="s">
        <v>1689</v>
      </c>
      <c r="D241" s="439">
        <v>44150</v>
      </c>
      <c r="E241" s="441">
        <v>44180</v>
      </c>
      <c r="F241" s="450">
        <v>10750000</v>
      </c>
      <c r="G241" s="107">
        <v>13250000</v>
      </c>
      <c r="H241" s="120" t="s">
        <v>17</v>
      </c>
      <c r="I241" s="20"/>
      <c r="J241" s="20"/>
      <c r="K241" s="2"/>
      <c r="L241" s="20"/>
      <c r="M241" s="20"/>
      <c r="N241" s="20">
        <f t="shared" si="11"/>
        <v>2500000</v>
      </c>
      <c r="O241" s="421" t="s">
        <v>1961</v>
      </c>
    </row>
    <row r="242" spans="1:16" hidden="1" x14ac:dyDescent="0.25">
      <c r="A242" s="146">
        <f t="shared" si="10"/>
        <v>233</v>
      </c>
      <c r="B242" s="76" t="s">
        <v>435</v>
      </c>
      <c r="C242" s="346" t="s">
        <v>1685</v>
      </c>
      <c r="D242" s="439">
        <v>44150</v>
      </c>
      <c r="E242" s="441">
        <v>44156</v>
      </c>
      <c r="F242" s="450">
        <v>14850000</v>
      </c>
      <c r="G242" s="107">
        <v>16750000</v>
      </c>
      <c r="H242" s="350" t="s">
        <v>17</v>
      </c>
      <c r="I242" s="20"/>
      <c r="J242" s="20"/>
      <c r="K242" s="2"/>
      <c r="L242" s="20"/>
      <c r="M242" s="20"/>
      <c r="N242" s="20">
        <f t="shared" si="11"/>
        <v>1900000</v>
      </c>
      <c r="O242" s="395" t="s">
        <v>1693</v>
      </c>
      <c r="P242" s="127"/>
    </row>
    <row r="243" spans="1:16" hidden="1" x14ac:dyDescent="0.25">
      <c r="A243" s="146">
        <f t="shared" si="10"/>
        <v>234</v>
      </c>
      <c r="B243" s="76" t="s">
        <v>435</v>
      </c>
      <c r="C243" s="346" t="s">
        <v>1691</v>
      </c>
      <c r="D243" s="439">
        <v>44150</v>
      </c>
      <c r="E243" s="439">
        <v>44152</v>
      </c>
      <c r="F243" s="450">
        <v>14850000</v>
      </c>
      <c r="G243" s="107">
        <v>16000000</v>
      </c>
      <c r="H243" s="350" t="s">
        <v>17</v>
      </c>
      <c r="I243" s="20"/>
      <c r="J243" s="20"/>
      <c r="K243" s="2"/>
      <c r="L243" s="20"/>
      <c r="M243" s="20"/>
      <c r="N243" s="20">
        <f t="shared" si="11"/>
        <v>1150000</v>
      </c>
      <c r="O243" s="395" t="s">
        <v>1693</v>
      </c>
    </row>
    <row r="244" spans="1:16" hidden="1" x14ac:dyDescent="0.25">
      <c r="A244" s="427">
        <f t="shared" si="10"/>
        <v>235</v>
      </c>
      <c r="B244" s="434" t="s">
        <v>435</v>
      </c>
      <c r="C244" s="398" t="s">
        <v>1692</v>
      </c>
      <c r="D244" s="441">
        <v>44150</v>
      </c>
      <c r="E244" s="441">
        <v>44150</v>
      </c>
      <c r="F244" s="455">
        <v>14850000</v>
      </c>
      <c r="G244" s="137">
        <v>17500000</v>
      </c>
      <c r="H244" s="350" t="s">
        <v>17</v>
      </c>
      <c r="I244" s="94"/>
      <c r="J244" s="94"/>
      <c r="K244" s="3"/>
      <c r="L244" s="94"/>
      <c r="M244" s="94"/>
      <c r="N244" s="94">
        <f t="shared" si="11"/>
        <v>2650000</v>
      </c>
      <c r="O244" s="393" t="s">
        <v>1635</v>
      </c>
    </row>
    <row r="245" spans="1:16" hidden="1" x14ac:dyDescent="0.25">
      <c r="A245" s="427">
        <v>236</v>
      </c>
      <c r="B245" s="434" t="s">
        <v>1695</v>
      </c>
      <c r="C245" s="404" t="s">
        <v>1263</v>
      </c>
      <c r="D245" s="441">
        <v>44156</v>
      </c>
      <c r="E245" s="441">
        <v>44175</v>
      </c>
      <c r="F245" s="455">
        <v>9850000</v>
      </c>
      <c r="G245" s="137">
        <v>13500000</v>
      </c>
      <c r="H245" s="120" t="s">
        <v>17</v>
      </c>
      <c r="I245" s="94"/>
      <c r="J245" s="94"/>
      <c r="K245" s="3"/>
      <c r="L245" s="94"/>
      <c r="M245" s="94"/>
      <c r="N245" s="94">
        <f t="shared" si="11"/>
        <v>3650000</v>
      </c>
      <c r="O245" s="406" t="s">
        <v>1928</v>
      </c>
    </row>
    <row r="246" spans="1:16" hidden="1" x14ac:dyDescent="0.25">
      <c r="A246" s="428">
        <f>A245+1</f>
        <v>237</v>
      </c>
      <c r="B246" s="76" t="s">
        <v>87</v>
      </c>
      <c r="C246" s="346" t="s">
        <v>1839</v>
      </c>
      <c r="D246" s="439">
        <v>44170</v>
      </c>
      <c r="E246" s="441">
        <v>44170</v>
      </c>
      <c r="F246" s="450">
        <v>13500000</v>
      </c>
      <c r="G246" s="107">
        <v>14700000</v>
      </c>
      <c r="H246" s="120" t="s">
        <v>17</v>
      </c>
      <c r="I246" s="20"/>
      <c r="J246" s="20"/>
      <c r="K246" s="2"/>
      <c r="L246" s="20"/>
      <c r="M246" s="20"/>
      <c r="N246" s="94">
        <f t="shared" si="11"/>
        <v>1200000</v>
      </c>
      <c r="O246" s="403" t="s">
        <v>1838</v>
      </c>
    </row>
    <row r="247" spans="1:16" hidden="1" x14ac:dyDescent="0.25">
      <c r="A247" s="146">
        <f t="shared" ref="A247:A310" si="12">A246+1</f>
        <v>238</v>
      </c>
      <c r="B247" s="76" t="s">
        <v>87</v>
      </c>
      <c r="C247" s="346" t="s">
        <v>1840</v>
      </c>
      <c r="D247" s="439">
        <v>44170</v>
      </c>
      <c r="E247" s="441">
        <v>44170</v>
      </c>
      <c r="F247" s="450">
        <v>11000000</v>
      </c>
      <c r="G247" s="107">
        <v>14000000</v>
      </c>
      <c r="H247" s="120" t="s">
        <v>17</v>
      </c>
      <c r="I247" s="20"/>
      <c r="J247" s="20"/>
      <c r="K247" s="2"/>
      <c r="L247" s="20"/>
      <c r="M247" s="20"/>
      <c r="N247" s="94">
        <f t="shared" si="11"/>
        <v>3000000</v>
      </c>
      <c r="O247" s="403" t="s">
        <v>1838</v>
      </c>
    </row>
    <row r="248" spans="1:16" hidden="1" x14ac:dyDescent="0.25">
      <c r="A248" s="146">
        <f t="shared" si="12"/>
        <v>239</v>
      </c>
      <c r="B248" s="76" t="s">
        <v>434</v>
      </c>
      <c r="C248" s="346" t="s">
        <v>1842</v>
      </c>
      <c r="D248" s="439">
        <v>44170</v>
      </c>
      <c r="E248" s="441">
        <v>44170</v>
      </c>
      <c r="F248" s="450">
        <v>15000000</v>
      </c>
      <c r="G248" s="107">
        <v>16500000</v>
      </c>
      <c r="H248" s="120" t="s">
        <v>17</v>
      </c>
      <c r="I248" s="20"/>
      <c r="J248" s="20"/>
      <c r="K248" s="2"/>
      <c r="L248" s="20"/>
      <c r="M248" s="20"/>
      <c r="N248" s="94">
        <f t="shared" si="11"/>
        <v>1500000</v>
      </c>
      <c r="O248" s="403" t="s">
        <v>1838</v>
      </c>
    </row>
    <row r="249" spans="1:16" hidden="1" x14ac:dyDescent="0.25">
      <c r="A249" s="146">
        <f t="shared" si="12"/>
        <v>240</v>
      </c>
      <c r="B249" s="76" t="s">
        <v>434</v>
      </c>
      <c r="C249" s="346" t="s">
        <v>1843</v>
      </c>
      <c r="D249" s="439">
        <v>44170</v>
      </c>
      <c r="E249" s="441">
        <v>44176</v>
      </c>
      <c r="F249" s="450">
        <v>15000000</v>
      </c>
      <c r="G249" s="107">
        <v>16500000</v>
      </c>
      <c r="H249" s="120" t="s">
        <v>17</v>
      </c>
      <c r="I249" s="20"/>
      <c r="J249" s="20"/>
      <c r="K249" s="2"/>
      <c r="L249" s="20"/>
      <c r="M249" s="20"/>
      <c r="N249" s="94">
        <f t="shared" si="11"/>
        <v>1500000</v>
      </c>
      <c r="O249" s="406" t="s">
        <v>1928</v>
      </c>
    </row>
    <row r="250" spans="1:16" hidden="1" x14ac:dyDescent="0.25">
      <c r="A250" s="146">
        <f t="shared" si="12"/>
        <v>241</v>
      </c>
      <c r="B250" s="76" t="s">
        <v>87</v>
      </c>
      <c r="C250" s="346" t="s">
        <v>1844</v>
      </c>
      <c r="D250" s="439">
        <v>44170</v>
      </c>
      <c r="E250" s="441">
        <v>44170</v>
      </c>
      <c r="F250" s="450">
        <v>13500000</v>
      </c>
      <c r="G250" s="107">
        <v>16250000</v>
      </c>
      <c r="H250" s="120" t="s">
        <v>17</v>
      </c>
      <c r="I250" s="20"/>
      <c r="J250" s="20"/>
      <c r="K250" s="2"/>
      <c r="L250" s="20"/>
      <c r="M250" s="20"/>
      <c r="N250" s="94">
        <f t="shared" si="11"/>
        <v>2750000</v>
      </c>
      <c r="O250" s="403" t="s">
        <v>1838</v>
      </c>
    </row>
    <row r="251" spans="1:16" hidden="1" x14ac:dyDescent="0.25">
      <c r="A251" s="146">
        <f t="shared" si="12"/>
        <v>242</v>
      </c>
      <c r="B251" s="76" t="s">
        <v>434</v>
      </c>
      <c r="C251" s="346" t="s">
        <v>1845</v>
      </c>
      <c r="D251" s="439">
        <v>44170</v>
      </c>
      <c r="E251" s="441">
        <v>44175</v>
      </c>
      <c r="F251" s="450">
        <v>15000000</v>
      </c>
      <c r="G251" s="107">
        <v>17150000</v>
      </c>
      <c r="H251" s="120" t="s">
        <v>17</v>
      </c>
      <c r="I251" s="20"/>
      <c r="J251" s="20"/>
      <c r="K251" s="2"/>
      <c r="L251" s="20"/>
      <c r="M251" s="20"/>
      <c r="N251" s="94">
        <f t="shared" si="11"/>
        <v>2150000</v>
      </c>
      <c r="O251" s="406" t="s">
        <v>1928</v>
      </c>
    </row>
    <row r="252" spans="1:16" hidden="1" x14ac:dyDescent="0.25">
      <c r="A252" s="146">
        <f t="shared" si="12"/>
        <v>243</v>
      </c>
      <c r="B252" s="76" t="s">
        <v>434</v>
      </c>
      <c r="C252" s="346" t="s">
        <v>1846</v>
      </c>
      <c r="D252" s="439">
        <v>44170</v>
      </c>
      <c r="E252" s="441">
        <v>44173</v>
      </c>
      <c r="F252" s="450">
        <v>15000000</v>
      </c>
      <c r="G252" s="107">
        <v>16000000</v>
      </c>
      <c r="H252" s="120" t="s">
        <v>17</v>
      </c>
      <c r="I252" s="20"/>
      <c r="J252" s="20"/>
      <c r="K252" s="2"/>
      <c r="L252" s="20"/>
      <c r="M252" s="20"/>
      <c r="N252" s="94">
        <f t="shared" si="11"/>
        <v>1000000</v>
      </c>
      <c r="O252" s="406" t="s">
        <v>1928</v>
      </c>
    </row>
    <row r="253" spans="1:16" hidden="1" x14ac:dyDescent="0.25">
      <c r="A253" s="146">
        <f t="shared" si="12"/>
        <v>244</v>
      </c>
      <c r="B253" s="76" t="s">
        <v>434</v>
      </c>
      <c r="C253" s="346" t="s">
        <v>1847</v>
      </c>
      <c r="D253" s="439">
        <v>44170</v>
      </c>
      <c r="E253" s="441">
        <v>44177</v>
      </c>
      <c r="F253" s="450">
        <v>15000000</v>
      </c>
      <c r="G253" s="107">
        <v>16500000</v>
      </c>
      <c r="H253" s="120" t="s">
        <v>17</v>
      </c>
      <c r="I253" s="20"/>
      <c r="J253" s="20"/>
      <c r="K253" s="2"/>
      <c r="L253" s="20"/>
      <c r="M253" s="20"/>
      <c r="N253" s="94">
        <f t="shared" si="11"/>
        <v>1500000</v>
      </c>
      <c r="O253" s="406" t="s">
        <v>1928</v>
      </c>
    </row>
    <row r="254" spans="1:16" hidden="1" x14ac:dyDescent="0.25">
      <c r="A254" s="146">
        <f t="shared" si="12"/>
        <v>245</v>
      </c>
      <c r="B254" s="76" t="s">
        <v>434</v>
      </c>
      <c r="C254" s="346" t="s">
        <v>1848</v>
      </c>
      <c r="D254" s="439">
        <v>44170</v>
      </c>
      <c r="E254" s="441">
        <v>44172</v>
      </c>
      <c r="F254" s="450">
        <v>15000000</v>
      </c>
      <c r="G254" s="107">
        <v>17750000</v>
      </c>
      <c r="H254" s="120" t="s">
        <v>17</v>
      </c>
      <c r="I254" s="20"/>
      <c r="J254" s="20"/>
      <c r="K254" s="2"/>
      <c r="L254" s="20"/>
      <c r="M254" s="20"/>
      <c r="N254" s="94">
        <f t="shared" si="11"/>
        <v>2750000</v>
      </c>
      <c r="O254" s="406" t="s">
        <v>1928</v>
      </c>
    </row>
    <row r="255" spans="1:16" hidden="1" x14ac:dyDescent="0.25">
      <c r="A255" s="146">
        <f t="shared" si="12"/>
        <v>246</v>
      </c>
      <c r="B255" s="76" t="s">
        <v>87</v>
      </c>
      <c r="C255" s="346" t="s">
        <v>1849</v>
      </c>
      <c r="D255" s="439">
        <v>44170</v>
      </c>
      <c r="E255" s="439">
        <v>44170</v>
      </c>
      <c r="F255" s="450">
        <v>11000000</v>
      </c>
      <c r="G255" s="107">
        <v>12000000</v>
      </c>
      <c r="H255" s="120" t="s">
        <v>17</v>
      </c>
      <c r="I255" s="20"/>
      <c r="J255" s="20"/>
      <c r="K255" s="2"/>
      <c r="L255" s="20"/>
      <c r="M255" s="20"/>
      <c r="N255" s="94">
        <f t="shared" si="11"/>
        <v>1000000</v>
      </c>
      <c r="O255" s="403" t="s">
        <v>1838</v>
      </c>
    </row>
    <row r="256" spans="1:16" hidden="1" x14ac:dyDescent="0.25">
      <c r="A256" s="146">
        <f t="shared" si="12"/>
        <v>247</v>
      </c>
      <c r="B256" s="76" t="s">
        <v>87</v>
      </c>
      <c r="C256" s="346" t="s">
        <v>1850</v>
      </c>
      <c r="D256" s="439">
        <v>44170</v>
      </c>
      <c r="E256" s="441">
        <v>44170</v>
      </c>
      <c r="F256" s="450">
        <v>11000000</v>
      </c>
      <c r="G256" s="107">
        <v>11750000</v>
      </c>
      <c r="H256" s="120" t="s">
        <v>17</v>
      </c>
      <c r="I256" s="20"/>
      <c r="J256" s="20"/>
      <c r="K256" s="2"/>
      <c r="L256" s="20"/>
      <c r="M256" s="20"/>
      <c r="N256" s="94">
        <f t="shared" si="11"/>
        <v>750000</v>
      </c>
      <c r="O256" s="403" t="s">
        <v>1838</v>
      </c>
    </row>
    <row r="257" spans="1:15" hidden="1" x14ac:dyDescent="0.25">
      <c r="A257" s="146">
        <f t="shared" si="12"/>
        <v>248</v>
      </c>
      <c r="B257" s="76" t="s">
        <v>87</v>
      </c>
      <c r="C257" s="346" t="s">
        <v>1851</v>
      </c>
      <c r="D257" s="439">
        <v>44170</v>
      </c>
      <c r="E257" s="441">
        <v>44174</v>
      </c>
      <c r="F257" s="450">
        <v>11000000</v>
      </c>
      <c r="G257" s="107">
        <v>11750000</v>
      </c>
      <c r="H257" s="120" t="s">
        <v>17</v>
      </c>
      <c r="I257" s="20"/>
      <c r="J257" s="20"/>
      <c r="K257" s="2"/>
      <c r="L257" s="20"/>
      <c r="M257" s="20"/>
      <c r="N257" s="94">
        <f t="shared" si="11"/>
        <v>750000</v>
      </c>
      <c r="O257" s="406" t="s">
        <v>1928</v>
      </c>
    </row>
    <row r="258" spans="1:15" hidden="1" x14ac:dyDescent="0.25">
      <c r="A258" s="146">
        <f t="shared" si="12"/>
        <v>249</v>
      </c>
      <c r="B258" s="76" t="s">
        <v>434</v>
      </c>
      <c r="C258" s="346" t="s">
        <v>1852</v>
      </c>
      <c r="D258" s="439">
        <v>44170</v>
      </c>
      <c r="E258" s="441">
        <v>44170</v>
      </c>
      <c r="F258" s="450">
        <v>15000000</v>
      </c>
      <c r="G258" s="107">
        <v>18850000</v>
      </c>
      <c r="H258" s="120" t="s">
        <v>17</v>
      </c>
      <c r="I258" s="20"/>
      <c r="J258" s="20"/>
      <c r="K258" s="2"/>
      <c r="L258" s="20"/>
      <c r="M258" s="20"/>
      <c r="N258" s="94">
        <f t="shared" si="11"/>
        <v>3850000</v>
      </c>
      <c r="O258" s="403" t="s">
        <v>1838</v>
      </c>
    </row>
    <row r="259" spans="1:15" hidden="1" x14ac:dyDescent="0.25">
      <c r="A259" s="146">
        <f t="shared" si="12"/>
        <v>250</v>
      </c>
      <c r="B259" s="76" t="s">
        <v>434</v>
      </c>
      <c r="C259" s="346" t="s">
        <v>1853</v>
      </c>
      <c r="D259" s="439">
        <v>44170</v>
      </c>
      <c r="E259" s="441">
        <v>44174</v>
      </c>
      <c r="F259" s="450">
        <v>15000000</v>
      </c>
      <c r="G259" s="107">
        <v>16000000</v>
      </c>
      <c r="H259" s="120" t="s">
        <v>17</v>
      </c>
      <c r="I259" s="20"/>
      <c r="J259" s="20"/>
      <c r="K259" s="2"/>
      <c r="L259" s="20"/>
      <c r="M259" s="20"/>
      <c r="N259" s="94">
        <f t="shared" si="11"/>
        <v>1000000</v>
      </c>
      <c r="O259" s="406" t="s">
        <v>1928</v>
      </c>
    </row>
    <row r="260" spans="1:15" hidden="1" x14ac:dyDescent="0.25">
      <c r="A260" s="146">
        <f t="shared" si="12"/>
        <v>251</v>
      </c>
      <c r="B260" s="76" t="s">
        <v>434</v>
      </c>
      <c r="C260" s="346" t="s">
        <v>1854</v>
      </c>
      <c r="D260" s="439">
        <v>44170</v>
      </c>
      <c r="E260" s="441">
        <v>44179</v>
      </c>
      <c r="F260" s="450">
        <v>15000000</v>
      </c>
      <c r="G260" s="107">
        <v>15500000</v>
      </c>
      <c r="H260" s="120" t="s">
        <v>17</v>
      </c>
      <c r="I260" s="20"/>
      <c r="J260" s="20"/>
      <c r="K260" s="2"/>
      <c r="L260" s="20"/>
      <c r="M260" s="20"/>
      <c r="N260" s="101">
        <f t="shared" si="11"/>
        <v>500000</v>
      </c>
      <c r="O260" s="421" t="s">
        <v>1961</v>
      </c>
    </row>
    <row r="261" spans="1:15" hidden="1" x14ac:dyDescent="0.25">
      <c r="A261" s="146">
        <f t="shared" si="12"/>
        <v>252</v>
      </c>
      <c r="B261" s="76" t="s">
        <v>87</v>
      </c>
      <c r="C261" s="346" t="s">
        <v>1855</v>
      </c>
      <c r="D261" s="439">
        <v>44170</v>
      </c>
      <c r="E261" s="441">
        <v>44170</v>
      </c>
      <c r="F261" s="450">
        <v>13500000</v>
      </c>
      <c r="G261" s="107">
        <v>16000000</v>
      </c>
      <c r="H261" s="120" t="s">
        <v>17</v>
      </c>
      <c r="I261" s="20"/>
      <c r="J261" s="20"/>
      <c r="K261" s="2"/>
      <c r="L261" s="20"/>
      <c r="M261" s="20"/>
      <c r="N261" s="94">
        <f t="shared" si="11"/>
        <v>2500000</v>
      </c>
      <c r="O261" s="403" t="s">
        <v>1838</v>
      </c>
    </row>
    <row r="262" spans="1:15" hidden="1" x14ac:dyDescent="0.25">
      <c r="A262" s="146">
        <f t="shared" si="12"/>
        <v>253</v>
      </c>
      <c r="B262" s="76" t="s">
        <v>87</v>
      </c>
      <c r="C262" s="346" t="s">
        <v>1856</v>
      </c>
      <c r="D262" s="439">
        <v>44170</v>
      </c>
      <c r="E262" s="441">
        <v>44180</v>
      </c>
      <c r="F262" s="450">
        <v>11000000</v>
      </c>
      <c r="G262" s="107">
        <v>13750000</v>
      </c>
      <c r="H262" s="120" t="s">
        <v>17</v>
      </c>
      <c r="I262" s="20"/>
      <c r="J262" s="20"/>
      <c r="K262" s="2"/>
      <c r="L262" s="20"/>
      <c r="M262" s="20"/>
      <c r="N262" s="94">
        <f t="shared" si="11"/>
        <v>2750000</v>
      </c>
      <c r="O262" s="421" t="s">
        <v>1961</v>
      </c>
    </row>
    <row r="263" spans="1:15" hidden="1" x14ac:dyDescent="0.25">
      <c r="A263" s="146">
        <f t="shared" si="12"/>
        <v>254</v>
      </c>
      <c r="B263" s="434" t="s">
        <v>434</v>
      </c>
      <c r="C263" s="398" t="s">
        <v>1857</v>
      </c>
      <c r="D263" s="439">
        <v>44170</v>
      </c>
      <c r="E263" s="441">
        <v>44172</v>
      </c>
      <c r="F263" s="455">
        <v>15000000</v>
      </c>
      <c r="G263" s="137">
        <v>17900000</v>
      </c>
      <c r="H263" s="120" t="s">
        <v>17</v>
      </c>
      <c r="I263" s="94"/>
      <c r="J263" s="94"/>
      <c r="K263" s="3"/>
      <c r="L263" s="94"/>
      <c r="M263" s="94"/>
      <c r="N263" s="101">
        <f t="shared" si="11"/>
        <v>2900000</v>
      </c>
      <c r="O263" s="406" t="s">
        <v>1928</v>
      </c>
    </row>
    <row r="264" spans="1:15" hidden="1" x14ac:dyDescent="0.25">
      <c r="A264" s="146">
        <f t="shared" si="12"/>
        <v>255</v>
      </c>
      <c r="B264" s="434" t="s">
        <v>434</v>
      </c>
      <c r="C264" s="346" t="s">
        <v>1858</v>
      </c>
      <c r="D264" s="439">
        <v>44170</v>
      </c>
      <c r="E264" s="439">
        <v>44170</v>
      </c>
      <c r="F264" s="455">
        <v>15000000</v>
      </c>
      <c r="G264" s="137">
        <v>16725000</v>
      </c>
      <c r="H264" s="120" t="s">
        <v>17</v>
      </c>
      <c r="I264" s="20"/>
      <c r="J264" s="20"/>
      <c r="K264" s="2"/>
      <c r="L264" s="20"/>
      <c r="M264" s="20"/>
      <c r="N264" s="94">
        <f t="shared" si="11"/>
        <v>1725000</v>
      </c>
      <c r="O264" s="403" t="s">
        <v>1838</v>
      </c>
    </row>
    <row r="265" spans="1:15" hidden="1" x14ac:dyDescent="0.25">
      <c r="A265" s="146">
        <f t="shared" si="12"/>
        <v>256</v>
      </c>
      <c r="B265" s="434" t="s">
        <v>434</v>
      </c>
      <c r="C265" s="346" t="s">
        <v>1859</v>
      </c>
      <c r="D265" s="439">
        <v>44170</v>
      </c>
      <c r="E265" s="439">
        <v>44173</v>
      </c>
      <c r="F265" s="455">
        <v>15000000</v>
      </c>
      <c r="G265" s="137">
        <v>16000000</v>
      </c>
      <c r="H265" s="120" t="s">
        <v>17</v>
      </c>
      <c r="I265" s="20"/>
      <c r="J265" s="20"/>
      <c r="K265" s="2"/>
      <c r="L265" s="20"/>
      <c r="M265" s="20"/>
      <c r="N265" s="94">
        <f t="shared" si="11"/>
        <v>1000000</v>
      </c>
      <c r="O265" s="406" t="s">
        <v>1928</v>
      </c>
    </row>
    <row r="266" spans="1:15" hidden="1" x14ac:dyDescent="0.25">
      <c r="A266" s="146">
        <f t="shared" si="12"/>
        <v>257</v>
      </c>
      <c r="B266" s="76" t="s">
        <v>87</v>
      </c>
      <c r="C266" s="346" t="s">
        <v>1860</v>
      </c>
      <c r="D266" s="439">
        <v>44170</v>
      </c>
      <c r="E266" s="439">
        <v>44170</v>
      </c>
      <c r="F266" s="450">
        <v>11000000</v>
      </c>
      <c r="G266" s="107">
        <v>12150000</v>
      </c>
      <c r="H266" s="120" t="s">
        <v>17</v>
      </c>
      <c r="I266" s="20"/>
      <c r="J266" s="20"/>
      <c r="K266" s="2"/>
      <c r="L266" s="20"/>
      <c r="M266" s="20"/>
      <c r="N266" s="94">
        <f t="shared" si="11"/>
        <v>1150000</v>
      </c>
      <c r="O266" s="403" t="s">
        <v>1838</v>
      </c>
    </row>
    <row r="267" spans="1:15" hidden="1" x14ac:dyDescent="0.25">
      <c r="A267" s="146">
        <f t="shared" si="12"/>
        <v>258</v>
      </c>
      <c r="B267" s="76" t="s">
        <v>434</v>
      </c>
      <c r="C267" s="346" t="s">
        <v>1861</v>
      </c>
      <c r="D267" s="439">
        <v>44170</v>
      </c>
      <c r="E267" s="439">
        <v>44173</v>
      </c>
      <c r="F267" s="450">
        <v>15000000</v>
      </c>
      <c r="G267" s="107">
        <v>17000000</v>
      </c>
      <c r="H267" s="120" t="s">
        <v>17</v>
      </c>
      <c r="I267" s="20"/>
      <c r="J267" s="20"/>
      <c r="K267" s="2"/>
      <c r="L267" s="20"/>
      <c r="M267" s="20"/>
      <c r="N267" s="94">
        <f t="shared" si="11"/>
        <v>2000000</v>
      </c>
      <c r="O267" s="406" t="s">
        <v>1928</v>
      </c>
    </row>
    <row r="268" spans="1:15" hidden="1" x14ac:dyDescent="0.25">
      <c r="A268" s="146">
        <f t="shared" si="12"/>
        <v>259</v>
      </c>
      <c r="B268" s="76" t="s">
        <v>87</v>
      </c>
      <c r="C268" s="346" t="s">
        <v>1862</v>
      </c>
      <c r="D268" s="439">
        <v>44170</v>
      </c>
      <c r="E268" s="439">
        <v>44170</v>
      </c>
      <c r="F268" s="450">
        <v>11000000</v>
      </c>
      <c r="G268" s="107">
        <v>12250000</v>
      </c>
      <c r="H268" s="120" t="s">
        <v>17</v>
      </c>
      <c r="I268" s="20"/>
      <c r="J268" s="20"/>
      <c r="K268" s="2"/>
      <c r="L268" s="20"/>
      <c r="M268" s="20"/>
      <c r="N268" s="94">
        <f t="shared" si="11"/>
        <v>1250000</v>
      </c>
      <c r="O268" s="403" t="s">
        <v>1838</v>
      </c>
    </row>
    <row r="269" spans="1:15" hidden="1" x14ac:dyDescent="0.25">
      <c r="A269" s="146">
        <f t="shared" si="12"/>
        <v>260</v>
      </c>
      <c r="B269" s="76" t="s">
        <v>434</v>
      </c>
      <c r="C269" s="346" t="s">
        <v>1863</v>
      </c>
      <c r="D269" s="439">
        <v>44170</v>
      </c>
      <c r="E269" s="439">
        <v>44186</v>
      </c>
      <c r="F269" s="450">
        <v>15000000</v>
      </c>
      <c r="G269" s="107">
        <v>15000000</v>
      </c>
      <c r="H269" s="120" t="s">
        <v>17</v>
      </c>
      <c r="I269" s="20"/>
      <c r="J269" s="20"/>
      <c r="K269" s="2"/>
      <c r="L269" s="20"/>
      <c r="M269" s="20"/>
      <c r="N269" s="101">
        <f t="shared" si="11"/>
        <v>0</v>
      </c>
      <c r="O269" s="423" t="s">
        <v>2011</v>
      </c>
    </row>
    <row r="270" spans="1:15" hidden="1" x14ac:dyDescent="0.25">
      <c r="A270" s="146">
        <f t="shared" si="12"/>
        <v>261</v>
      </c>
      <c r="B270" s="76" t="s">
        <v>434</v>
      </c>
      <c r="C270" s="346" t="s">
        <v>2026</v>
      </c>
      <c r="D270" s="439">
        <v>44188</v>
      </c>
      <c r="E270" s="439">
        <v>44215</v>
      </c>
      <c r="F270" s="450">
        <v>15000000</v>
      </c>
      <c r="G270" s="107">
        <v>15900000</v>
      </c>
      <c r="H270" s="120" t="s">
        <v>17</v>
      </c>
      <c r="I270" s="20"/>
      <c r="J270" s="20"/>
      <c r="K270" s="2"/>
      <c r="L270" s="20"/>
      <c r="M270" s="20"/>
      <c r="N270" s="101">
        <f t="shared" si="11"/>
        <v>900000</v>
      </c>
      <c r="O270" s="470" t="s">
        <v>2258</v>
      </c>
    </row>
    <row r="271" spans="1:15" hidden="1" x14ac:dyDescent="0.25">
      <c r="A271" s="146">
        <f t="shared" si="12"/>
        <v>262</v>
      </c>
      <c r="B271" s="76" t="s">
        <v>434</v>
      </c>
      <c r="C271" s="346" t="s">
        <v>2027</v>
      </c>
      <c r="D271" s="465">
        <v>44188</v>
      </c>
      <c r="E271" s="439" t="s">
        <v>379</v>
      </c>
      <c r="F271" s="466">
        <v>15000000</v>
      </c>
      <c r="G271" s="107">
        <v>15000000</v>
      </c>
      <c r="H271" s="396" t="s">
        <v>17</v>
      </c>
      <c r="I271" s="20"/>
      <c r="J271" s="85"/>
      <c r="K271" s="2"/>
      <c r="L271" s="20"/>
      <c r="M271" s="20"/>
      <c r="N271" s="101">
        <f t="shared" si="11"/>
        <v>0</v>
      </c>
      <c r="O271" s="549" t="s">
        <v>2952</v>
      </c>
    </row>
    <row r="272" spans="1:15" hidden="1" x14ac:dyDescent="0.25">
      <c r="A272" s="146">
        <f t="shared" si="12"/>
        <v>263</v>
      </c>
      <c r="B272" s="76" t="s">
        <v>434</v>
      </c>
      <c r="C272" s="346" t="s">
        <v>2028</v>
      </c>
      <c r="D272" s="465">
        <v>44188</v>
      </c>
      <c r="E272" s="439">
        <v>44205</v>
      </c>
      <c r="F272" s="467">
        <v>15000000</v>
      </c>
      <c r="G272" s="107">
        <v>21750000</v>
      </c>
      <c r="H272" s="120" t="s">
        <v>17</v>
      </c>
      <c r="I272" s="20"/>
      <c r="J272" s="20"/>
      <c r="K272" s="2"/>
      <c r="L272" s="20"/>
      <c r="M272" s="20"/>
      <c r="N272" s="101">
        <f t="shared" si="11"/>
        <v>6750000</v>
      </c>
      <c r="O272" s="463" t="s">
        <v>2065</v>
      </c>
    </row>
    <row r="273" spans="1:15" hidden="1" x14ac:dyDescent="0.25">
      <c r="A273" s="146">
        <f t="shared" si="12"/>
        <v>264</v>
      </c>
      <c r="B273" s="76" t="s">
        <v>434</v>
      </c>
      <c r="C273" s="346" t="s">
        <v>2029</v>
      </c>
      <c r="D273" s="439">
        <v>44188</v>
      </c>
      <c r="E273" s="464">
        <v>44192</v>
      </c>
      <c r="F273" s="450">
        <v>15000000</v>
      </c>
      <c r="G273" s="107">
        <v>17500000</v>
      </c>
      <c r="H273" s="120" t="s">
        <v>17</v>
      </c>
      <c r="I273" s="20"/>
      <c r="J273" s="20"/>
      <c r="K273" s="2"/>
      <c r="L273" s="20"/>
      <c r="M273" s="20"/>
      <c r="N273" s="101">
        <f t="shared" si="11"/>
        <v>2500000</v>
      </c>
      <c r="O273" s="423" t="s">
        <v>2011</v>
      </c>
    </row>
    <row r="274" spans="1:15" hidden="1" x14ac:dyDescent="0.25">
      <c r="A274" s="428">
        <f t="shared" si="12"/>
        <v>265</v>
      </c>
      <c r="B274" s="76" t="s">
        <v>87</v>
      </c>
      <c r="C274" s="346" t="s">
        <v>2030</v>
      </c>
      <c r="D274" s="439">
        <v>44188</v>
      </c>
      <c r="E274" s="439">
        <v>44209</v>
      </c>
      <c r="F274" s="450">
        <v>13500000</v>
      </c>
      <c r="G274" s="107">
        <v>13750000</v>
      </c>
      <c r="H274" s="120" t="s">
        <v>17</v>
      </c>
      <c r="I274" s="20"/>
      <c r="J274" s="20"/>
      <c r="K274" s="2"/>
      <c r="L274" s="20"/>
      <c r="M274" s="20"/>
      <c r="N274" s="101">
        <f t="shared" si="11"/>
        <v>250000</v>
      </c>
      <c r="O274" s="463" t="s">
        <v>2065</v>
      </c>
    </row>
    <row r="275" spans="1:15" hidden="1" x14ac:dyDescent="0.25">
      <c r="A275" s="146">
        <f t="shared" si="12"/>
        <v>266</v>
      </c>
      <c r="B275" s="76" t="s">
        <v>309</v>
      </c>
      <c r="C275" s="346" t="s">
        <v>2031</v>
      </c>
      <c r="D275" s="439">
        <v>44188</v>
      </c>
      <c r="E275" s="439">
        <v>44189</v>
      </c>
      <c r="F275" s="452">
        <v>19500000</v>
      </c>
      <c r="G275" s="107">
        <v>20000000</v>
      </c>
      <c r="H275" s="120" t="s">
        <v>17</v>
      </c>
      <c r="I275" s="20"/>
      <c r="J275" s="20"/>
      <c r="K275" s="158" t="s">
        <v>2060</v>
      </c>
      <c r="L275" s="20">
        <v>4000000</v>
      </c>
      <c r="M275" s="20">
        <v>297</v>
      </c>
      <c r="N275" s="101">
        <f t="shared" si="11"/>
        <v>500000</v>
      </c>
      <c r="O275" s="423" t="s">
        <v>2011</v>
      </c>
    </row>
    <row r="276" spans="1:15" hidden="1" x14ac:dyDescent="0.25">
      <c r="A276" s="146">
        <f t="shared" si="12"/>
        <v>267</v>
      </c>
      <c r="B276" s="76" t="s">
        <v>434</v>
      </c>
      <c r="C276" s="346" t="s">
        <v>2032</v>
      </c>
      <c r="D276" s="439">
        <v>44188</v>
      </c>
      <c r="E276" s="439">
        <v>44188</v>
      </c>
      <c r="F276" s="450">
        <v>15000000</v>
      </c>
      <c r="G276" s="107">
        <v>17000000</v>
      </c>
      <c r="H276" s="120" t="s">
        <v>17</v>
      </c>
      <c r="I276" s="20"/>
      <c r="J276" s="85"/>
      <c r="K276" s="2"/>
      <c r="L276" s="20"/>
      <c r="M276" s="20"/>
      <c r="N276" s="101">
        <f t="shared" si="11"/>
        <v>2000000</v>
      </c>
      <c r="O276" s="423" t="s">
        <v>2011</v>
      </c>
    </row>
    <row r="277" spans="1:15" hidden="1" x14ac:dyDescent="0.25">
      <c r="A277" s="146">
        <f t="shared" si="12"/>
        <v>268</v>
      </c>
      <c r="B277" s="76" t="s">
        <v>434</v>
      </c>
      <c r="C277" s="346" t="s">
        <v>2033</v>
      </c>
      <c r="D277" s="439">
        <v>44188</v>
      </c>
      <c r="E277" s="439">
        <v>44188</v>
      </c>
      <c r="F277" s="450">
        <v>15000000</v>
      </c>
      <c r="G277" s="107">
        <v>17500000</v>
      </c>
      <c r="H277" s="120" t="s">
        <v>17</v>
      </c>
      <c r="I277" s="20"/>
      <c r="J277" s="20"/>
      <c r="K277" s="2"/>
      <c r="L277" s="20"/>
      <c r="M277" s="20"/>
      <c r="N277" s="101">
        <f t="shared" si="11"/>
        <v>2500000</v>
      </c>
      <c r="O277" s="423" t="s">
        <v>2011</v>
      </c>
    </row>
    <row r="278" spans="1:15" hidden="1" x14ac:dyDescent="0.25">
      <c r="A278" s="146">
        <f t="shared" si="12"/>
        <v>269</v>
      </c>
      <c r="B278" s="76" t="s">
        <v>434</v>
      </c>
      <c r="C278" s="346" t="s">
        <v>2034</v>
      </c>
      <c r="D278" s="439">
        <v>44188</v>
      </c>
      <c r="E278" s="439">
        <v>44194</v>
      </c>
      <c r="F278" s="450">
        <v>15000000</v>
      </c>
      <c r="G278" s="107">
        <v>17750000</v>
      </c>
      <c r="H278" s="120" t="s">
        <v>17</v>
      </c>
      <c r="I278" s="20"/>
      <c r="J278" s="20"/>
      <c r="K278" s="2"/>
      <c r="L278" s="20"/>
      <c r="M278" s="20"/>
      <c r="N278" s="101">
        <f t="shared" si="11"/>
        <v>2750000</v>
      </c>
      <c r="O278" s="423" t="s">
        <v>2011</v>
      </c>
    </row>
    <row r="279" spans="1:15" hidden="1" x14ac:dyDescent="0.25">
      <c r="A279" s="146">
        <f t="shared" si="12"/>
        <v>270</v>
      </c>
      <c r="B279" s="76" t="s">
        <v>87</v>
      </c>
      <c r="C279" s="346" t="s">
        <v>2035</v>
      </c>
      <c r="D279" s="439">
        <v>44188</v>
      </c>
      <c r="E279" s="439">
        <v>44195</v>
      </c>
      <c r="F279" s="450">
        <v>11000000</v>
      </c>
      <c r="G279" s="107">
        <v>11650000</v>
      </c>
      <c r="H279" s="120" t="s">
        <v>17</v>
      </c>
      <c r="I279" s="20"/>
      <c r="J279" s="20"/>
      <c r="K279" s="2"/>
      <c r="L279" s="20"/>
      <c r="M279" s="20"/>
      <c r="N279" s="101">
        <f t="shared" si="11"/>
        <v>650000</v>
      </c>
      <c r="O279" s="423" t="s">
        <v>2011</v>
      </c>
    </row>
    <row r="280" spans="1:15" hidden="1" x14ac:dyDescent="0.25">
      <c r="A280" s="146">
        <f t="shared" si="12"/>
        <v>271</v>
      </c>
      <c r="B280" s="76" t="s">
        <v>87</v>
      </c>
      <c r="C280" s="346" t="s">
        <v>2036</v>
      </c>
      <c r="D280" s="439">
        <v>44188</v>
      </c>
      <c r="E280" s="439">
        <v>44193</v>
      </c>
      <c r="F280" s="450">
        <v>11000000</v>
      </c>
      <c r="G280" s="107">
        <v>11750000</v>
      </c>
      <c r="H280" s="120" t="s">
        <v>17</v>
      </c>
      <c r="I280" s="20"/>
      <c r="J280" s="20"/>
      <c r="K280" s="2"/>
      <c r="L280" s="20"/>
      <c r="M280" s="20"/>
      <c r="N280" s="101">
        <f t="shared" si="11"/>
        <v>750000</v>
      </c>
      <c r="O280" s="423" t="s">
        <v>2011</v>
      </c>
    </row>
    <row r="281" spans="1:15" hidden="1" x14ac:dyDescent="0.25">
      <c r="A281" s="146">
        <f t="shared" si="12"/>
        <v>272</v>
      </c>
      <c r="B281" s="76" t="s">
        <v>87</v>
      </c>
      <c r="C281" s="346" t="s">
        <v>2037</v>
      </c>
      <c r="D281" s="439">
        <v>44188</v>
      </c>
      <c r="E281" s="439">
        <v>44188</v>
      </c>
      <c r="F281" s="450">
        <v>11000000</v>
      </c>
      <c r="G281" s="107">
        <v>12650000</v>
      </c>
      <c r="H281" s="120" t="s">
        <v>17</v>
      </c>
      <c r="I281" s="20"/>
      <c r="J281" s="20"/>
      <c r="K281" s="2"/>
      <c r="L281" s="20"/>
      <c r="M281" s="20"/>
      <c r="N281" s="101">
        <f t="shared" si="11"/>
        <v>1650000</v>
      </c>
      <c r="O281" s="423" t="s">
        <v>2011</v>
      </c>
    </row>
    <row r="282" spans="1:15" hidden="1" x14ac:dyDescent="0.25">
      <c r="A282" s="146">
        <f t="shared" si="12"/>
        <v>273</v>
      </c>
      <c r="B282" s="76" t="s">
        <v>87</v>
      </c>
      <c r="C282" s="346" t="s">
        <v>2038</v>
      </c>
      <c r="D282" s="439">
        <v>44188</v>
      </c>
      <c r="E282" s="439">
        <v>44195</v>
      </c>
      <c r="F282" s="450">
        <v>11000000</v>
      </c>
      <c r="G282" s="107">
        <v>12200000</v>
      </c>
      <c r="H282" s="120" t="s">
        <v>17</v>
      </c>
      <c r="I282" s="20"/>
      <c r="J282" s="20"/>
      <c r="K282" s="2"/>
      <c r="L282" s="20"/>
      <c r="M282" s="20"/>
      <c r="N282" s="101">
        <f t="shared" si="11"/>
        <v>1200000</v>
      </c>
      <c r="O282" s="423" t="s">
        <v>2011</v>
      </c>
    </row>
    <row r="283" spans="1:15" hidden="1" x14ac:dyDescent="0.25">
      <c r="A283" s="146">
        <f t="shared" si="12"/>
        <v>274</v>
      </c>
      <c r="B283" s="76" t="s">
        <v>87</v>
      </c>
      <c r="C283" s="346" t="s">
        <v>2039</v>
      </c>
      <c r="D283" s="439">
        <v>44188</v>
      </c>
      <c r="E283" s="439">
        <v>44188</v>
      </c>
      <c r="F283" s="450">
        <v>11000000</v>
      </c>
      <c r="G283" s="107">
        <v>12750000</v>
      </c>
      <c r="H283" s="120" t="s">
        <v>17</v>
      </c>
      <c r="I283" s="20"/>
      <c r="J283" s="20"/>
      <c r="K283" s="2"/>
      <c r="L283" s="20"/>
      <c r="M283" s="20"/>
      <c r="N283" s="101">
        <f t="shared" si="11"/>
        <v>1750000</v>
      </c>
      <c r="O283" s="423" t="s">
        <v>2011</v>
      </c>
    </row>
    <row r="284" spans="1:15" hidden="1" x14ac:dyDescent="0.25">
      <c r="A284" s="146">
        <f t="shared" si="12"/>
        <v>275</v>
      </c>
      <c r="B284" s="76" t="s">
        <v>87</v>
      </c>
      <c r="C284" s="346" t="s">
        <v>2040</v>
      </c>
      <c r="D284" s="439">
        <v>44188</v>
      </c>
      <c r="E284" s="439">
        <v>44188</v>
      </c>
      <c r="F284" s="450">
        <v>11000000</v>
      </c>
      <c r="G284" s="107">
        <v>12150000</v>
      </c>
      <c r="H284" s="120" t="s">
        <v>17</v>
      </c>
      <c r="I284" s="20"/>
      <c r="J284" s="20"/>
      <c r="K284" s="2"/>
      <c r="L284" s="20"/>
      <c r="M284" s="20"/>
      <c r="N284" s="101">
        <f t="shared" si="11"/>
        <v>1150000</v>
      </c>
      <c r="O284" s="423" t="s">
        <v>2011</v>
      </c>
    </row>
    <row r="285" spans="1:15" hidden="1" x14ac:dyDescent="0.25">
      <c r="A285" s="146">
        <f t="shared" si="12"/>
        <v>276</v>
      </c>
      <c r="B285" s="76" t="s">
        <v>87</v>
      </c>
      <c r="C285" s="346" t="s">
        <v>2041</v>
      </c>
      <c r="D285" s="439">
        <v>44188</v>
      </c>
      <c r="E285" s="439">
        <v>44188</v>
      </c>
      <c r="F285" s="450">
        <v>13500000</v>
      </c>
      <c r="G285" s="107">
        <v>14500000</v>
      </c>
      <c r="H285" s="120" t="s">
        <v>17</v>
      </c>
      <c r="I285" s="20"/>
      <c r="J285" s="20"/>
      <c r="K285" s="2"/>
      <c r="L285" s="20"/>
      <c r="M285" s="20"/>
      <c r="N285" s="101">
        <f t="shared" si="11"/>
        <v>1000000</v>
      </c>
      <c r="O285" s="423" t="s">
        <v>2011</v>
      </c>
    </row>
    <row r="286" spans="1:15" hidden="1" x14ac:dyDescent="0.25">
      <c r="A286" s="146">
        <f t="shared" si="12"/>
        <v>277</v>
      </c>
      <c r="B286" s="76" t="s">
        <v>309</v>
      </c>
      <c r="C286" s="346" t="s">
        <v>2042</v>
      </c>
      <c r="D286" s="439">
        <v>44188</v>
      </c>
      <c r="E286" s="439">
        <v>44208</v>
      </c>
      <c r="F286" s="452">
        <v>19500000</v>
      </c>
      <c r="G286" s="107">
        <v>20000000</v>
      </c>
      <c r="H286" s="120" t="s">
        <v>17</v>
      </c>
      <c r="I286" s="20"/>
      <c r="J286" s="20"/>
      <c r="K286" s="2"/>
      <c r="L286" s="20"/>
      <c r="M286" s="20"/>
      <c r="N286" s="101">
        <f t="shared" si="11"/>
        <v>500000</v>
      </c>
      <c r="O286" s="463" t="s">
        <v>2065</v>
      </c>
    </row>
    <row r="287" spans="1:15" hidden="1" x14ac:dyDescent="0.25">
      <c r="A287" s="428">
        <f t="shared" si="12"/>
        <v>278</v>
      </c>
      <c r="B287" s="76" t="s">
        <v>87</v>
      </c>
      <c r="C287" s="346" t="s">
        <v>2043</v>
      </c>
      <c r="D287" s="439">
        <v>44188</v>
      </c>
      <c r="E287" s="439">
        <v>44195</v>
      </c>
      <c r="F287" s="450">
        <v>13500000</v>
      </c>
      <c r="G287" s="107">
        <v>13250000</v>
      </c>
      <c r="H287" s="120" t="s">
        <v>17</v>
      </c>
      <c r="I287" s="20"/>
      <c r="J287" s="20"/>
      <c r="K287" s="2"/>
      <c r="L287" s="20"/>
      <c r="M287" s="20"/>
      <c r="N287" s="101">
        <f t="shared" si="11"/>
        <v>-250000</v>
      </c>
      <c r="O287" s="423" t="s">
        <v>2011</v>
      </c>
    </row>
    <row r="288" spans="1:15" hidden="1" x14ac:dyDescent="0.25">
      <c r="A288" s="146">
        <f t="shared" si="12"/>
        <v>279</v>
      </c>
      <c r="B288" s="76" t="s">
        <v>87</v>
      </c>
      <c r="C288" s="346" t="s">
        <v>2044</v>
      </c>
      <c r="D288" s="439">
        <v>44188</v>
      </c>
      <c r="E288" s="439">
        <v>44192</v>
      </c>
      <c r="F288" s="450">
        <v>13500000</v>
      </c>
      <c r="G288" s="107">
        <v>14500000</v>
      </c>
      <c r="H288" s="120" t="s">
        <v>17</v>
      </c>
      <c r="I288" s="20"/>
      <c r="J288" s="20"/>
      <c r="K288" s="2"/>
      <c r="L288" s="20"/>
      <c r="M288" s="20"/>
      <c r="N288" s="101">
        <f t="shared" si="11"/>
        <v>1000000</v>
      </c>
      <c r="O288" s="423" t="s">
        <v>2011</v>
      </c>
    </row>
    <row r="289" spans="1:15" hidden="1" x14ac:dyDescent="0.25">
      <c r="A289" s="146">
        <f t="shared" si="12"/>
        <v>280</v>
      </c>
      <c r="B289" s="76" t="s">
        <v>87</v>
      </c>
      <c r="C289" s="346" t="s">
        <v>2045</v>
      </c>
      <c r="D289" s="439">
        <v>44188</v>
      </c>
      <c r="E289" s="439">
        <v>44188</v>
      </c>
      <c r="F289" s="450">
        <v>11000000</v>
      </c>
      <c r="G289" s="107">
        <v>13250000</v>
      </c>
      <c r="H289" s="120" t="s">
        <v>17</v>
      </c>
      <c r="I289" s="20"/>
      <c r="J289" s="20"/>
      <c r="K289" s="2"/>
      <c r="L289" s="20"/>
      <c r="M289" s="20"/>
      <c r="N289" s="101">
        <f t="shared" si="11"/>
        <v>2250000</v>
      </c>
      <c r="O289" s="423" t="s">
        <v>2011</v>
      </c>
    </row>
    <row r="290" spans="1:15" hidden="1" x14ac:dyDescent="0.25">
      <c r="A290" s="146">
        <f t="shared" si="12"/>
        <v>281</v>
      </c>
      <c r="B290" s="76" t="s">
        <v>434</v>
      </c>
      <c r="C290" s="346" t="s">
        <v>2046</v>
      </c>
      <c r="D290" s="439">
        <v>44188</v>
      </c>
      <c r="E290" s="439">
        <v>44192</v>
      </c>
      <c r="F290" s="450">
        <v>15000000</v>
      </c>
      <c r="G290" s="107">
        <v>16000000</v>
      </c>
      <c r="H290" s="120" t="s">
        <v>17</v>
      </c>
      <c r="I290" s="20"/>
      <c r="J290" s="20"/>
      <c r="K290" s="2"/>
      <c r="L290" s="20"/>
      <c r="M290" s="20"/>
      <c r="N290" s="101">
        <f t="shared" si="11"/>
        <v>1000000</v>
      </c>
      <c r="O290" s="423" t="s">
        <v>2011</v>
      </c>
    </row>
    <row r="291" spans="1:15" hidden="1" x14ac:dyDescent="0.25">
      <c r="A291" s="146">
        <f t="shared" si="12"/>
        <v>282</v>
      </c>
      <c r="B291" s="76" t="s">
        <v>87</v>
      </c>
      <c r="C291" s="346" t="s">
        <v>2047</v>
      </c>
      <c r="D291" s="439">
        <v>44188</v>
      </c>
      <c r="E291" s="439">
        <v>44188</v>
      </c>
      <c r="F291" s="450">
        <v>11000000</v>
      </c>
      <c r="G291" s="107">
        <v>12400000</v>
      </c>
      <c r="H291" s="120" t="s">
        <v>17</v>
      </c>
      <c r="I291" s="20"/>
      <c r="J291" s="20"/>
      <c r="K291" s="2"/>
      <c r="L291" s="20"/>
      <c r="M291" s="20"/>
      <c r="N291" s="101">
        <f t="shared" si="11"/>
        <v>1400000</v>
      </c>
      <c r="O291" s="423" t="s">
        <v>2011</v>
      </c>
    </row>
    <row r="292" spans="1:15" hidden="1" x14ac:dyDescent="0.25">
      <c r="A292" s="146">
        <f t="shared" si="12"/>
        <v>283</v>
      </c>
      <c r="B292" s="76" t="s">
        <v>87</v>
      </c>
      <c r="C292" s="346" t="s">
        <v>2048</v>
      </c>
      <c r="D292" s="439">
        <v>44188</v>
      </c>
      <c r="E292" s="439">
        <v>44189</v>
      </c>
      <c r="F292" s="450">
        <v>13500000</v>
      </c>
      <c r="G292" s="107">
        <v>14000000</v>
      </c>
      <c r="H292" s="120" t="s">
        <v>17</v>
      </c>
      <c r="I292" s="20"/>
      <c r="J292" s="20"/>
      <c r="K292" s="2"/>
      <c r="L292" s="20"/>
      <c r="M292" s="20"/>
      <c r="N292" s="101">
        <f t="shared" si="11"/>
        <v>500000</v>
      </c>
      <c r="O292" s="423" t="s">
        <v>2011</v>
      </c>
    </row>
    <row r="293" spans="1:15" hidden="1" x14ac:dyDescent="0.25">
      <c r="A293" s="146">
        <f t="shared" si="12"/>
        <v>284</v>
      </c>
      <c r="B293" s="76" t="s">
        <v>309</v>
      </c>
      <c r="C293" s="346" t="s">
        <v>2049</v>
      </c>
      <c r="D293" s="439">
        <v>44188</v>
      </c>
      <c r="E293" s="439">
        <v>44188</v>
      </c>
      <c r="F293" s="452">
        <v>19500000</v>
      </c>
      <c r="G293" s="107">
        <v>20500000</v>
      </c>
      <c r="H293" s="120" t="s">
        <v>17</v>
      </c>
      <c r="I293" s="20"/>
      <c r="J293" s="85"/>
      <c r="K293" s="2"/>
      <c r="L293" s="20"/>
      <c r="M293" s="20"/>
      <c r="N293" s="101">
        <f t="shared" si="11"/>
        <v>1000000</v>
      </c>
      <c r="O293" s="423" t="s">
        <v>2011</v>
      </c>
    </row>
    <row r="294" spans="1:15" hidden="1" x14ac:dyDescent="0.25">
      <c r="A294" s="146">
        <f t="shared" si="12"/>
        <v>285</v>
      </c>
      <c r="B294" s="76" t="s">
        <v>434</v>
      </c>
      <c r="C294" s="346" t="s">
        <v>2050</v>
      </c>
      <c r="D294" s="439">
        <v>44188</v>
      </c>
      <c r="E294" s="439">
        <v>44203</v>
      </c>
      <c r="F294" s="452">
        <v>15000000</v>
      </c>
      <c r="G294" s="107">
        <v>18500000</v>
      </c>
      <c r="H294" s="120" t="s">
        <v>17</v>
      </c>
      <c r="I294" s="20"/>
      <c r="J294" s="20"/>
      <c r="K294" s="2"/>
      <c r="L294" s="20"/>
      <c r="M294" s="20"/>
      <c r="N294" s="101">
        <f t="shared" si="11"/>
        <v>3500000</v>
      </c>
      <c r="O294" s="463" t="s">
        <v>2065</v>
      </c>
    </row>
    <row r="295" spans="1:15" hidden="1" x14ac:dyDescent="0.25">
      <c r="A295" s="146">
        <f t="shared" si="12"/>
        <v>286</v>
      </c>
      <c r="B295" s="76" t="s">
        <v>87</v>
      </c>
      <c r="C295" s="346" t="s">
        <v>2051</v>
      </c>
      <c r="D295" s="439">
        <v>44188</v>
      </c>
      <c r="E295" s="439">
        <v>44189</v>
      </c>
      <c r="F295" s="450">
        <v>11000000</v>
      </c>
      <c r="G295" s="107">
        <v>11600000</v>
      </c>
      <c r="H295" s="120" t="s">
        <v>17</v>
      </c>
      <c r="I295" s="20"/>
      <c r="J295" s="20"/>
      <c r="K295" s="2"/>
      <c r="L295" s="20"/>
      <c r="M295" s="20"/>
      <c r="N295" s="101">
        <f t="shared" si="11"/>
        <v>600000</v>
      </c>
      <c r="O295" s="423" t="s">
        <v>2011</v>
      </c>
    </row>
    <row r="296" spans="1:15" hidden="1" x14ac:dyDescent="0.25">
      <c r="A296" s="146">
        <f t="shared" si="12"/>
        <v>287</v>
      </c>
      <c r="B296" s="76" t="s">
        <v>434</v>
      </c>
      <c r="C296" s="346" t="s">
        <v>2052</v>
      </c>
      <c r="D296" s="439">
        <v>44188</v>
      </c>
      <c r="E296" s="439">
        <v>44188</v>
      </c>
      <c r="F296" s="450">
        <v>15000000</v>
      </c>
      <c r="G296" s="107">
        <v>17900000</v>
      </c>
      <c r="H296" s="120" t="s">
        <v>17</v>
      </c>
      <c r="I296" s="20"/>
      <c r="J296" s="20"/>
      <c r="K296" s="2"/>
      <c r="L296" s="20"/>
      <c r="M296" s="20"/>
      <c r="N296" s="101">
        <f t="shared" si="11"/>
        <v>2900000</v>
      </c>
      <c r="O296" s="423" t="s">
        <v>2011</v>
      </c>
    </row>
    <row r="297" spans="1:15" hidden="1" x14ac:dyDescent="0.25">
      <c r="A297" s="146">
        <f t="shared" si="12"/>
        <v>288</v>
      </c>
      <c r="B297" s="76" t="s">
        <v>434</v>
      </c>
      <c r="C297" s="346" t="s">
        <v>2053</v>
      </c>
      <c r="D297" s="439">
        <v>44188</v>
      </c>
      <c r="E297" s="439">
        <v>44189</v>
      </c>
      <c r="F297" s="450">
        <v>15000000</v>
      </c>
      <c r="G297" s="107">
        <v>16000000</v>
      </c>
      <c r="H297" s="120" t="s">
        <v>17</v>
      </c>
      <c r="I297" s="20"/>
      <c r="J297" s="20"/>
      <c r="K297" s="2"/>
      <c r="L297" s="20"/>
      <c r="M297" s="20"/>
      <c r="N297" s="101">
        <f t="shared" si="11"/>
        <v>1000000</v>
      </c>
      <c r="O297" s="423" t="s">
        <v>2011</v>
      </c>
    </row>
    <row r="298" spans="1:15" hidden="1" x14ac:dyDescent="0.25">
      <c r="A298" s="146">
        <f t="shared" si="12"/>
        <v>289</v>
      </c>
      <c r="B298" s="76" t="s">
        <v>434</v>
      </c>
      <c r="C298" s="346" t="s">
        <v>2054</v>
      </c>
      <c r="D298" s="439">
        <v>44188</v>
      </c>
      <c r="E298" s="439">
        <v>44188</v>
      </c>
      <c r="F298" s="450">
        <v>15000000</v>
      </c>
      <c r="G298" s="107">
        <v>17000000</v>
      </c>
      <c r="H298" s="120" t="s">
        <v>17</v>
      </c>
      <c r="I298" s="20"/>
      <c r="J298" s="20"/>
      <c r="K298" s="2"/>
      <c r="L298" s="20"/>
      <c r="M298" s="20"/>
      <c r="N298" s="101">
        <f t="shared" si="11"/>
        <v>2000000</v>
      </c>
      <c r="O298" s="423" t="s">
        <v>2011</v>
      </c>
    </row>
    <row r="299" spans="1:15" hidden="1" x14ac:dyDescent="0.25">
      <c r="A299" s="146">
        <f t="shared" si="12"/>
        <v>290</v>
      </c>
      <c r="B299" s="76" t="s">
        <v>87</v>
      </c>
      <c r="C299" s="346" t="s">
        <v>2055</v>
      </c>
      <c r="D299" s="439">
        <v>44188</v>
      </c>
      <c r="E299" s="439">
        <v>44188</v>
      </c>
      <c r="F299" s="450">
        <v>11000000</v>
      </c>
      <c r="G299" s="107">
        <v>13750000</v>
      </c>
      <c r="H299" s="120" t="s">
        <v>17</v>
      </c>
      <c r="I299" s="20"/>
      <c r="J299" s="20"/>
      <c r="K299" s="2"/>
      <c r="L299" s="20"/>
      <c r="M299" s="20"/>
      <c r="N299" s="101">
        <f t="shared" si="11"/>
        <v>2750000</v>
      </c>
      <c r="O299" s="423" t="s">
        <v>2011</v>
      </c>
    </row>
    <row r="300" spans="1:15" hidden="1" x14ac:dyDescent="0.25">
      <c r="A300" s="146">
        <f t="shared" si="12"/>
        <v>291</v>
      </c>
      <c r="B300" s="76" t="s">
        <v>434</v>
      </c>
      <c r="C300" s="346" t="s">
        <v>2056</v>
      </c>
      <c r="D300" s="439">
        <v>44188</v>
      </c>
      <c r="E300" s="439">
        <v>44188</v>
      </c>
      <c r="F300" s="450">
        <v>15000000</v>
      </c>
      <c r="G300" s="107">
        <v>19000000</v>
      </c>
      <c r="H300" s="120" t="s">
        <v>17</v>
      </c>
      <c r="I300" s="20"/>
      <c r="J300" s="20"/>
      <c r="K300" s="2"/>
      <c r="L300" s="20"/>
      <c r="M300" s="20"/>
      <c r="N300" s="101">
        <f t="shared" si="11"/>
        <v>4000000</v>
      </c>
      <c r="O300" s="423" t="s">
        <v>2011</v>
      </c>
    </row>
    <row r="301" spans="1:15" hidden="1" x14ac:dyDescent="0.25">
      <c r="A301" s="146">
        <f t="shared" si="12"/>
        <v>292</v>
      </c>
      <c r="B301" s="76" t="s">
        <v>434</v>
      </c>
      <c r="C301" s="346" t="s">
        <v>2057</v>
      </c>
      <c r="D301" s="439">
        <v>44188</v>
      </c>
      <c r="E301" s="439">
        <v>44215</v>
      </c>
      <c r="F301" s="450">
        <v>15000000</v>
      </c>
      <c r="G301" s="107">
        <v>16000000</v>
      </c>
      <c r="H301" s="120" t="s">
        <v>17</v>
      </c>
      <c r="I301" s="20"/>
      <c r="J301" s="20"/>
      <c r="K301" s="2"/>
      <c r="L301" s="20"/>
      <c r="M301" s="20"/>
      <c r="N301" s="101">
        <f t="shared" si="11"/>
        <v>1000000</v>
      </c>
      <c r="O301" s="470" t="s">
        <v>2258</v>
      </c>
    </row>
    <row r="302" spans="1:15" hidden="1" x14ac:dyDescent="0.25">
      <c r="A302" s="146">
        <f t="shared" si="12"/>
        <v>293</v>
      </c>
      <c r="B302" s="434" t="s">
        <v>434</v>
      </c>
      <c r="C302" s="398" t="s">
        <v>2058</v>
      </c>
      <c r="D302" s="441">
        <v>44188</v>
      </c>
      <c r="E302" s="441">
        <v>44188</v>
      </c>
      <c r="F302" s="455">
        <v>15000000</v>
      </c>
      <c r="G302" s="137">
        <v>17400000</v>
      </c>
      <c r="H302" s="161" t="s">
        <v>17</v>
      </c>
      <c r="I302" s="94"/>
      <c r="J302" s="94"/>
      <c r="K302" s="3"/>
      <c r="L302" s="94"/>
      <c r="M302" s="94"/>
      <c r="N302" s="101">
        <f t="shared" si="11"/>
        <v>2400000</v>
      </c>
      <c r="O302" s="423" t="s">
        <v>2011</v>
      </c>
    </row>
    <row r="303" spans="1:15" hidden="1" x14ac:dyDescent="0.25">
      <c r="A303" s="146">
        <f t="shared" si="12"/>
        <v>294</v>
      </c>
      <c r="B303" s="206" t="s">
        <v>436</v>
      </c>
      <c r="C303" s="346" t="s">
        <v>2063</v>
      </c>
      <c r="D303" s="441">
        <v>44189</v>
      </c>
      <c r="E303" s="439">
        <v>44211</v>
      </c>
      <c r="F303" s="450">
        <v>15250000</v>
      </c>
      <c r="G303" s="452">
        <v>16000000</v>
      </c>
      <c r="H303" s="120" t="s">
        <v>17</v>
      </c>
      <c r="I303" s="20"/>
      <c r="J303" s="20"/>
      <c r="K303" s="2"/>
      <c r="L303" s="20"/>
      <c r="M303" s="20"/>
      <c r="N303" s="101">
        <f t="shared" si="11"/>
        <v>750000</v>
      </c>
      <c r="O303" s="463" t="s">
        <v>2065</v>
      </c>
    </row>
    <row r="304" spans="1:15" hidden="1" x14ac:dyDescent="0.25">
      <c r="A304" s="146">
        <f t="shared" si="12"/>
        <v>295</v>
      </c>
      <c r="B304" s="206" t="s">
        <v>436</v>
      </c>
      <c r="C304" s="346" t="s">
        <v>2062</v>
      </c>
      <c r="D304" s="441">
        <v>44189</v>
      </c>
      <c r="E304" s="439">
        <v>44194</v>
      </c>
      <c r="F304" s="450">
        <v>15250000</v>
      </c>
      <c r="G304" s="452">
        <v>16750000</v>
      </c>
      <c r="H304" s="161" t="s">
        <v>17</v>
      </c>
      <c r="I304" s="20"/>
      <c r="J304" s="20"/>
      <c r="K304" s="2"/>
      <c r="L304" s="20"/>
      <c r="M304" s="20"/>
      <c r="N304" s="101">
        <f t="shared" ref="N304:N369" si="13">G304-F304</f>
        <v>1500000</v>
      </c>
      <c r="O304" s="423" t="s">
        <v>2011</v>
      </c>
    </row>
    <row r="305" spans="1:15" hidden="1" x14ac:dyDescent="0.25">
      <c r="A305" s="146">
        <f t="shared" si="12"/>
        <v>296</v>
      </c>
      <c r="B305" s="206" t="s">
        <v>436</v>
      </c>
      <c r="C305" s="346" t="s">
        <v>2064</v>
      </c>
      <c r="D305" s="441">
        <v>44189</v>
      </c>
      <c r="E305" s="439">
        <v>44215</v>
      </c>
      <c r="F305" s="450">
        <v>15250000</v>
      </c>
      <c r="G305" s="471">
        <v>15250000</v>
      </c>
      <c r="H305" s="120" t="s">
        <v>17</v>
      </c>
      <c r="I305" s="20"/>
      <c r="J305" s="20"/>
      <c r="K305" s="2"/>
      <c r="L305" s="20"/>
      <c r="M305" s="20"/>
      <c r="N305" s="101">
        <f t="shared" si="13"/>
        <v>0</v>
      </c>
      <c r="O305" s="470" t="s">
        <v>2258</v>
      </c>
    </row>
    <row r="306" spans="1:15" hidden="1" x14ac:dyDescent="0.25">
      <c r="A306" s="427">
        <f t="shared" si="12"/>
        <v>297</v>
      </c>
      <c r="B306" s="434" t="s">
        <v>2061</v>
      </c>
      <c r="C306" s="398" t="s">
        <v>1676</v>
      </c>
      <c r="D306" s="441">
        <v>44189</v>
      </c>
      <c r="E306" s="441">
        <v>44191</v>
      </c>
      <c r="F306" s="455">
        <v>16000000</v>
      </c>
      <c r="G306" s="137">
        <v>17000000</v>
      </c>
      <c r="H306" s="161" t="s">
        <v>17</v>
      </c>
      <c r="I306" s="94"/>
      <c r="J306" s="94"/>
      <c r="K306" s="3"/>
      <c r="L306" s="94"/>
      <c r="M306" s="94"/>
      <c r="N306" s="101">
        <f t="shared" si="13"/>
        <v>1000000</v>
      </c>
      <c r="O306" s="423" t="s">
        <v>2011</v>
      </c>
    </row>
    <row r="307" spans="1:15" hidden="1" x14ac:dyDescent="0.25">
      <c r="A307" s="427">
        <f t="shared" si="12"/>
        <v>298</v>
      </c>
      <c r="B307" s="76" t="s">
        <v>28</v>
      </c>
      <c r="C307" s="346" t="s">
        <v>2277</v>
      </c>
      <c r="D307" s="439">
        <v>43851</v>
      </c>
      <c r="E307" s="439">
        <v>44233</v>
      </c>
      <c r="F307" s="450">
        <v>10000000</v>
      </c>
      <c r="G307" s="107">
        <v>11850000</v>
      </c>
      <c r="H307" s="120" t="s">
        <v>17</v>
      </c>
      <c r="I307" s="20"/>
      <c r="J307" s="20"/>
      <c r="K307" s="2"/>
      <c r="L307" s="20"/>
      <c r="M307" s="20"/>
      <c r="N307" s="101">
        <f t="shared" si="13"/>
        <v>1850000</v>
      </c>
      <c r="O307" s="477" t="s">
        <v>2330</v>
      </c>
    </row>
    <row r="308" spans="1:15" hidden="1" x14ac:dyDescent="0.25">
      <c r="A308" s="427">
        <f t="shared" si="12"/>
        <v>299</v>
      </c>
      <c r="B308" s="76" t="s">
        <v>28</v>
      </c>
      <c r="C308" s="346" t="s">
        <v>2278</v>
      </c>
      <c r="D308" s="439">
        <v>43851</v>
      </c>
      <c r="E308" s="439">
        <v>44225</v>
      </c>
      <c r="F308" s="450">
        <v>11000000</v>
      </c>
      <c r="G308" s="107">
        <v>13000000</v>
      </c>
      <c r="H308" s="120" t="s">
        <v>17</v>
      </c>
      <c r="I308" s="20"/>
      <c r="J308" s="20"/>
      <c r="K308" s="2"/>
      <c r="L308" s="20"/>
      <c r="M308" s="20"/>
      <c r="N308" s="101">
        <f t="shared" si="13"/>
        <v>2000000</v>
      </c>
      <c r="O308" s="474" t="s">
        <v>2288</v>
      </c>
    </row>
    <row r="309" spans="1:15" hidden="1" x14ac:dyDescent="0.25">
      <c r="A309" s="427">
        <f t="shared" si="12"/>
        <v>300</v>
      </c>
      <c r="B309" s="76" t="s">
        <v>28</v>
      </c>
      <c r="C309" s="346" t="s">
        <v>2285</v>
      </c>
      <c r="D309" s="439">
        <v>43851</v>
      </c>
      <c r="E309" s="439">
        <v>44218</v>
      </c>
      <c r="F309" s="450">
        <v>11000000</v>
      </c>
      <c r="G309" s="107">
        <v>11450000</v>
      </c>
      <c r="H309" s="120" t="s">
        <v>17</v>
      </c>
      <c r="I309" s="20"/>
      <c r="J309" s="85"/>
      <c r="K309" s="2"/>
      <c r="L309" s="20"/>
      <c r="M309" s="20"/>
      <c r="N309" s="101">
        <f t="shared" si="13"/>
        <v>450000</v>
      </c>
      <c r="O309" s="470" t="s">
        <v>2258</v>
      </c>
    </row>
    <row r="310" spans="1:15" hidden="1" x14ac:dyDescent="0.25">
      <c r="A310" s="427">
        <f t="shared" si="12"/>
        <v>301</v>
      </c>
      <c r="B310" s="76" t="s">
        <v>28</v>
      </c>
      <c r="C310" s="346" t="s">
        <v>2279</v>
      </c>
      <c r="D310" s="439">
        <v>43851</v>
      </c>
      <c r="E310" s="439">
        <v>44225</v>
      </c>
      <c r="F310" s="450">
        <v>11000000</v>
      </c>
      <c r="G310" s="107">
        <v>12150000</v>
      </c>
      <c r="H310" s="120" t="s">
        <v>17</v>
      </c>
      <c r="I310" s="20"/>
      <c r="J310" s="20"/>
      <c r="K310" s="2"/>
      <c r="L310" s="20"/>
      <c r="M310" s="20"/>
      <c r="N310" s="101">
        <f t="shared" si="13"/>
        <v>1150000</v>
      </c>
      <c r="O310" s="474" t="s">
        <v>2288</v>
      </c>
    </row>
    <row r="311" spans="1:15" hidden="1" x14ac:dyDescent="0.25">
      <c r="A311" s="427">
        <f t="shared" ref="A311:A374" si="14">A310+1</f>
        <v>302</v>
      </c>
      <c r="B311" s="76" t="s">
        <v>28</v>
      </c>
      <c r="C311" s="346" t="s">
        <v>2280</v>
      </c>
      <c r="D311" s="439">
        <v>43851</v>
      </c>
      <c r="E311" s="439">
        <v>44261</v>
      </c>
      <c r="F311" s="450">
        <v>11000000</v>
      </c>
      <c r="G311" s="107">
        <v>11250000</v>
      </c>
      <c r="H311" s="488" t="s">
        <v>17</v>
      </c>
      <c r="I311" s="20"/>
      <c r="J311" s="20"/>
      <c r="K311" s="2"/>
      <c r="L311" s="20"/>
      <c r="M311" s="20"/>
      <c r="N311" s="101">
        <f t="shared" si="13"/>
        <v>250000</v>
      </c>
      <c r="O311" s="489" t="s">
        <v>2560</v>
      </c>
    </row>
    <row r="312" spans="1:15" hidden="1" x14ac:dyDescent="0.25">
      <c r="A312" s="427">
        <f t="shared" si="14"/>
        <v>303</v>
      </c>
      <c r="B312" s="76" t="s">
        <v>28</v>
      </c>
      <c r="C312" s="346" t="s">
        <v>2281</v>
      </c>
      <c r="D312" s="439">
        <v>43851</v>
      </c>
      <c r="E312" s="439">
        <v>44218</v>
      </c>
      <c r="F312" s="450">
        <v>11000000</v>
      </c>
      <c r="G312" s="107">
        <v>11800000</v>
      </c>
      <c r="H312" s="120" t="s">
        <v>17</v>
      </c>
      <c r="I312" s="20"/>
      <c r="J312" s="85"/>
      <c r="K312" s="2"/>
      <c r="L312" s="20"/>
      <c r="M312" s="20"/>
      <c r="N312" s="101">
        <f t="shared" si="13"/>
        <v>800000</v>
      </c>
      <c r="O312" s="470" t="s">
        <v>2258</v>
      </c>
    </row>
    <row r="313" spans="1:15" hidden="1" x14ac:dyDescent="0.25">
      <c r="A313" s="427">
        <f t="shared" si="14"/>
        <v>304</v>
      </c>
      <c r="B313" s="76" t="s">
        <v>28</v>
      </c>
      <c r="C313" s="346" t="s">
        <v>2282</v>
      </c>
      <c r="D313" s="439">
        <v>43851</v>
      </c>
      <c r="E313" s="439">
        <v>44219</v>
      </c>
      <c r="F313" s="450">
        <v>11000000</v>
      </c>
      <c r="G313" s="107">
        <v>12150000</v>
      </c>
      <c r="H313" s="120" t="s">
        <v>17</v>
      </c>
      <c r="I313" s="20"/>
      <c r="J313" s="20"/>
      <c r="K313" s="2"/>
      <c r="L313" s="20"/>
      <c r="M313" s="20"/>
      <c r="N313" s="101">
        <f t="shared" si="13"/>
        <v>1150000</v>
      </c>
      <c r="O313" s="470" t="s">
        <v>2258</v>
      </c>
    </row>
    <row r="314" spans="1:15" hidden="1" x14ac:dyDescent="0.25">
      <c r="A314" s="427">
        <f t="shared" si="14"/>
        <v>305</v>
      </c>
      <c r="B314" s="76" t="s">
        <v>28</v>
      </c>
      <c r="C314" s="346" t="s">
        <v>2283</v>
      </c>
      <c r="D314" s="439">
        <v>43851</v>
      </c>
      <c r="E314" s="439">
        <v>44218</v>
      </c>
      <c r="F314" s="450">
        <v>11000000</v>
      </c>
      <c r="G314" s="107">
        <v>12500000</v>
      </c>
      <c r="H314" s="120" t="s">
        <v>17</v>
      </c>
      <c r="I314" s="20"/>
      <c r="J314" s="20"/>
      <c r="K314" s="2"/>
      <c r="L314" s="20"/>
      <c r="M314" s="20"/>
      <c r="N314" s="101">
        <f t="shared" si="13"/>
        <v>1500000</v>
      </c>
      <c r="O314" s="470" t="s">
        <v>2258</v>
      </c>
    </row>
    <row r="315" spans="1:15" hidden="1" x14ac:dyDescent="0.25">
      <c r="A315" s="427">
        <f t="shared" si="14"/>
        <v>306</v>
      </c>
      <c r="B315" s="76" t="s">
        <v>28</v>
      </c>
      <c r="C315" s="346" t="s">
        <v>2284</v>
      </c>
      <c r="D315" s="439">
        <v>43851</v>
      </c>
      <c r="E315" s="439">
        <v>44474</v>
      </c>
      <c r="F315" s="450">
        <v>11000000</v>
      </c>
      <c r="G315" s="107">
        <v>11000000</v>
      </c>
      <c r="H315" s="586" t="s">
        <v>17</v>
      </c>
      <c r="I315" s="137"/>
      <c r="J315" s="242"/>
      <c r="K315" s="257"/>
      <c r="L315" s="20"/>
      <c r="M315" s="20"/>
      <c r="N315" s="101">
        <f t="shared" si="13"/>
        <v>0</v>
      </c>
      <c r="O315" s="501" t="s">
        <v>3303</v>
      </c>
    </row>
    <row r="316" spans="1:15" hidden="1" x14ac:dyDescent="0.25">
      <c r="A316" s="427">
        <f t="shared" si="14"/>
        <v>307</v>
      </c>
      <c r="B316" s="76" t="s">
        <v>28</v>
      </c>
      <c r="C316" s="346" t="s">
        <v>2286</v>
      </c>
      <c r="D316" s="439">
        <v>44219</v>
      </c>
      <c r="E316" s="439">
        <v>44222</v>
      </c>
      <c r="F316" s="450">
        <v>11500000</v>
      </c>
      <c r="G316" s="452">
        <v>13250000</v>
      </c>
      <c r="H316" s="120" t="s">
        <v>17</v>
      </c>
      <c r="I316" s="20"/>
      <c r="J316" s="20"/>
      <c r="K316" s="2"/>
      <c r="L316" s="20"/>
      <c r="M316" s="20"/>
      <c r="N316" s="101">
        <f t="shared" si="13"/>
        <v>1750000</v>
      </c>
      <c r="O316" s="474" t="s">
        <v>2288</v>
      </c>
    </row>
    <row r="317" spans="1:15" hidden="1" x14ac:dyDescent="0.25">
      <c r="A317" s="427">
        <f t="shared" si="14"/>
        <v>308</v>
      </c>
      <c r="B317" s="76" t="s">
        <v>28</v>
      </c>
      <c r="C317" s="346" t="s">
        <v>2287</v>
      </c>
      <c r="D317" s="439">
        <v>44219</v>
      </c>
      <c r="E317" s="439">
        <v>44226</v>
      </c>
      <c r="F317" s="450">
        <v>11500000</v>
      </c>
      <c r="G317" s="452">
        <v>12850000</v>
      </c>
      <c r="H317" s="120" t="s">
        <v>17</v>
      </c>
      <c r="I317" s="20"/>
      <c r="J317" s="20"/>
      <c r="K317" s="2"/>
      <c r="L317" s="20"/>
      <c r="M317" s="20"/>
      <c r="N317" s="101">
        <f t="shared" si="13"/>
        <v>1350000</v>
      </c>
      <c r="O317" s="474" t="s">
        <v>2288</v>
      </c>
    </row>
    <row r="318" spans="1:15" hidden="1" x14ac:dyDescent="0.25">
      <c r="A318" s="427">
        <f t="shared" si="14"/>
        <v>309</v>
      </c>
      <c r="B318" s="76" t="s">
        <v>28</v>
      </c>
      <c r="C318" s="346" t="s">
        <v>2366</v>
      </c>
      <c r="D318" s="439">
        <v>44232</v>
      </c>
      <c r="E318" s="439">
        <v>44239</v>
      </c>
      <c r="F318" s="450">
        <v>10500000</v>
      </c>
      <c r="G318" s="452">
        <v>11600000</v>
      </c>
      <c r="H318" s="120" t="s">
        <v>17</v>
      </c>
      <c r="I318" s="20"/>
      <c r="J318" s="20"/>
      <c r="K318" s="2"/>
      <c r="L318" s="20"/>
      <c r="M318" s="20"/>
      <c r="N318" s="101">
        <f t="shared" si="13"/>
        <v>1100000</v>
      </c>
      <c r="O318" s="479" t="s">
        <v>2378</v>
      </c>
    </row>
    <row r="319" spans="1:15" hidden="1" x14ac:dyDescent="0.25">
      <c r="A319" s="427">
        <f t="shared" si="14"/>
        <v>310</v>
      </c>
      <c r="B319" s="76" t="s">
        <v>28</v>
      </c>
      <c r="C319" s="346" t="s">
        <v>2367</v>
      </c>
      <c r="D319" s="439">
        <v>44232</v>
      </c>
      <c r="E319" s="439">
        <v>44243</v>
      </c>
      <c r="F319" s="450">
        <v>10500000</v>
      </c>
      <c r="G319" s="452">
        <v>11750000</v>
      </c>
      <c r="H319" s="120" t="s">
        <v>17</v>
      </c>
      <c r="I319" s="20"/>
      <c r="J319" s="20"/>
      <c r="K319" s="2"/>
      <c r="L319" s="20"/>
      <c r="M319" s="20"/>
      <c r="N319" s="101">
        <f t="shared" si="13"/>
        <v>1250000</v>
      </c>
      <c r="O319" s="484" t="s">
        <v>2491</v>
      </c>
    </row>
    <row r="320" spans="1:15" hidden="1" x14ac:dyDescent="0.25">
      <c r="A320" s="427">
        <f t="shared" si="14"/>
        <v>311</v>
      </c>
      <c r="B320" s="76" t="s">
        <v>28</v>
      </c>
      <c r="C320" s="346" t="s">
        <v>2368</v>
      </c>
      <c r="D320" s="439">
        <v>44232</v>
      </c>
      <c r="E320" s="439">
        <v>44240</v>
      </c>
      <c r="F320" s="450">
        <v>10500000</v>
      </c>
      <c r="G320" s="452">
        <v>11500000</v>
      </c>
      <c r="H320" s="120" t="s">
        <v>17</v>
      </c>
      <c r="I320" s="20"/>
      <c r="J320" s="20"/>
      <c r="K320" s="2"/>
      <c r="L320" s="20"/>
      <c r="M320" s="20"/>
      <c r="N320" s="101">
        <f t="shared" si="13"/>
        <v>1000000</v>
      </c>
      <c r="O320" s="479" t="s">
        <v>2378</v>
      </c>
    </row>
    <row r="321" spans="1:15" hidden="1" x14ac:dyDescent="0.25">
      <c r="A321" s="427">
        <f t="shared" si="14"/>
        <v>312</v>
      </c>
      <c r="B321" s="76" t="s">
        <v>28</v>
      </c>
      <c r="C321" s="346" t="s">
        <v>2369</v>
      </c>
      <c r="D321" s="439">
        <v>44232</v>
      </c>
      <c r="E321" s="439">
        <v>44258</v>
      </c>
      <c r="F321" s="450">
        <v>12500000</v>
      </c>
      <c r="G321" s="452">
        <v>13000000</v>
      </c>
      <c r="H321" s="488" t="s">
        <v>17</v>
      </c>
      <c r="I321" s="20"/>
      <c r="J321" s="20"/>
      <c r="K321" s="2"/>
      <c r="L321" s="20"/>
      <c r="M321" s="20"/>
      <c r="N321" s="101">
        <f t="shared" si="13"/>
        <v>500000</v>
      </c>
      <c r="O321" s="489" t="s">
        <v>2560</v>
      </c>
    </row>
    <row r="322" spans="1:15" hidden="1" x14ac:dyDescent="0.25">
      <c r="A322" s="427">
        <f t="shared" si="14"/>
        <v>313</v>
      </c>
      <c r="B322" s="76" t="s">
        <v>28</v>
      </c>
      <c r="C322" s="346" t="s">
        <v>2370</v>
      </c>
      <c r="D322" s="439">
        <v>44232</v>
      </c>
      <c r="E322" s="439">
        <v>44232</v>
      </c>
      <c r="F322" s="450">
        <v>10500000</v>
      </c>
      <c r="G322" s="452">
        <v>11500000</v>
      </c>
      <c r="H322" s="120" t="s">
        <v>17</v>
      </c>
      <c r="I322" s="20"/>
      <c r="J322" s="20"/>
      <c r="K322" s="2"/>
      <c r="L322" s="20"/>
      <c r="M322" s="20"/>
      <c r="N322" s="101">
        <f t="shared" si="13"/>
        <v>1000000</v>
      </c>
      <c r="O322" s="477" t="s">
        <v>2330</v>
      </c>
    </row>
    <row r="323" spans="1:15" hidden="1" x14ac:dyDescent="0.25">
      <c r="A323" s="427">
        <f t="shared" si="14"/>
        <v>314</v>
      </c>
      <c r="B323" s="76" t="s">
        <v>28</v>
      </c>
      <c r="C323" s="346" t="s">
        <v>2371</v>
      </c>
      <c r="D323" s="439">
        <v>44232</v>
      </c>
      <c r="E323" s="439">
        <v>44236</v>
      </c>
      <c r="F323" s="450">
        <v>12500000</v>
      </c>
      <c r="G323" s="452">
        <v>13400000</v>
      </c>
      <c r="H323" s="120" t="s">
        <v>17</v>
      </c>
      <c r="I323" s="107"/>
      <c r="J323" s="85"/>
      <c r="K323" s="107"/>
      <c r="L323" s="20"/>
      <c r="M323" s="20"/>
      <c r="N323" s="101">
        <f t="shared" si="13"/>
        <v>900000</v>
      </c>
      <c r="O323" s="479" t="s">
        <v>2378</v>
      </c>
    </row>
    <row r="324" spans="1:15" hidden="1" x14ac:dyDescent="0.25">
      <c r="A324" s="427">
        <f t="shared" si="14"/>
        <v>315</v>
      </c>
      <c r="B324" s="76" t="s">
        <v>28</v>
      </c>
      <c r="C324" s="346" t="s">
        <v>2372</v>
      </c>
      <c r="D324" s="439">
        <v>44232</v>
      </c>
      <c r="E324" s="439">
        <v>44459</v>
      </c>
      <c r="F324" s="450">
        <v>10500000</v>
      </c>
      <c r="G324" s="569">
        <v>10875000</v>
      </c>
      <c r="H324" s="586" t="s">
        <v>17</v>
      </c>
      <c r="I324" s="20"/>
      <c r="J324" s="20"/>
      <c r="K324" s="2"/>
      <c r="L324" s="20"/>
      <c r="M324" s="20"/>
      <c r="N324" s="101">
        <f t="shared" si="13"/>
        <v>375000</v>
      </c>
      <c r="O324" s="589" t="s">
        <v>3243</v>
      </c>
    </row>
    <row r="325" spans="1:15" hidden="1" x14ac:dyDescent="0.25">
      <c r="A325" s="427">
        <f t="shared" si="14"/>
        <v>316</v>
      </c>
      <c r="B325" s="76" t="s">
        <v>28</v>
      </c>
      <c r="C325" s="346" t="s">
        <v>2373</v>
      </c>
      <c r="D325" s="439">
        <v>44232</v>
      </c>
      <c r="E325" s="439">
        <v>44254</v>
      </c>
      <c r="F325" s="450">
        <v>10500000</v>
      </c>
      <c r="G325" s="452">
        <v>11500000</v>
      </c>
      <c r="H325" s="120" t="s">
        <v>17</v>
      </c>
      <c r="I325" s="20"/>
      <c r="J325" s="20"/>
      <c r="K325" s="2"/>
      <c r="L325" s="20"/>
      <c r="M325" s="20"/>
      <c r="N325" s="101">
        <f t="shared" si="13"/>
        <v>1000000</v>
      </c>
      <c r="O325" s="486" t="s">
        <v>2547</v>
      </c>
    </row>
    <row r="326" spans="1:15" hidden="1" x14ac:dyDescent="0.25">
      <c r="A326" s="427">
        <f t="shared" si="14"/>
        <v>317</v>
      </c>
      <c r="B326" s="76" t="s">
        <v>28</v>
      </c>
      <c r="C326" s="346" t="s">
        <v>2374</v>
      </c>
      <c r="D326" s="439">
        <v>44232</v>
      </c>
      <c r="E326" s="439">
        <v>44236</v>
      </c>
      <c r="F326" s="450">
        <v>10500000</v>
      </c>
      <c r="G326" s="452">
        <v>11350000</v>
      </c>
      <c r="H326" s="120" t="s">
        <v>17</v>
      </c>
      <c r="I326" s="20"/>
      <c r="J326" s="20"/>
      <c r="K326" s="2"/>
      <c r="L326" s="20"/>
      <c r="M326" s="20"/>
      <c r="N326" s="101">
        <f t="shared" si="13"/>
        <v>850000</v>
      </c>
      <c r="O326" s="479" t="s">
        <v>2378</v>
      </c>
    </row>
    <row r="327" spans="1:15" hidden="1" x14ac:dyDescent="0.25">
      <c r="A327" s="427">
        <f t="shared" si="14"/>
        <v>318</v>
      </c>
      <c r="B327" s="76" t="s">
        <v>28</v>
      </c>
      <c r="C327" s="346" t="s">
        <v>2375</v>
      </c>
      <c r="D327" s="439">
        <v>44232</v>
      </c>
      <c r="E327" s="439">
        <v>44243</v>
      </c>
      <c r="F327" s="450">
        <v>10500000</v>
      </c>
      <c r="G327" s="452">
        <v>11650000</v>
      </c>
      <c r="H327" s="120" t="s">
        <v>17</v>
      </c>
      <c r="I327" s="20"/>
      <c r="J327" s="20"/>
      <c r="K327" s="2"/>
      <c r="L327" s="20"/>
      <c r="M327" s="20"/>
      <c r="N327" s="101">
        <f t="shared" si="13"/>
        <v>1150000</v>
      </c>
      <c r="O327" s="484" t="s">
        <v>2491</v>
      </c>
    </row>
    <row r="328" spans="1:15" hidden="1" x14ac:dyDescent="0.25">
      <c r="A328" s="427">
        <f t="shared" si="14"/>
        <v>319</v>
      </c>
      <c r="B328" s="76" t="s">
        <v>434</v>
      </c>
      <c r="C328" s="346" t="s">
        <v>2376</v>
      </c>
      <c r="D328" s="439">
        <v>44232</v>
      </c>
      <c r="E328" s="439">
        <v>44233</v>
      </c>
      <c r="F328" s="450">
        <v>15000000</v>
      </c>
      <c r="G328" s="452">
        <v>16350000</v>
      </c>
      <c r="H328" s="120" t="s">
        <v>17</v>
      </c>
      <c r="I328" s="20"/>
      <c r="J328" s="20"/>
      <c r="K328" s="2"/>
      <c r="L328" s="20"/>
      <c r="M328" s="20"/>
      <c r="N328" s="101">
        <f t="shared" si="13"/>
        <v>1350000</v>
      </c>
      <c r="O328" s="477" t="s">
        <v>2330</v>
      </c>
    </row>
    <row r="329" spans="1:15" hidden="1" x14ac:dyDescent="0.25">
      <c r="A329" s="427">
        <f t="shared" si="14"/>
        <v>320</v>
      </c>
      <c r="B329" s="76" t="s">
        <v>434</v>
      </c>
      <c r="C329" s="346" t="s">
        <v>2377</v>
      </c>
      <c r="D329" s="439">
        <v>44232</v>
      </c>
      <c r="E329" s="439">
        <v>44236</v>
      </c>
      <c r="F329" s="450">
        <v>15000000</v>
      </c>
      <c r="G329" s="452">
        <v>16600000</v>
      </c>
      <c r="H329" s="120" t="s">
        <v>17</v>
      </c>
      <c r="I329" s="20"/>
      <c r="J329" s="85"/>
      <c r="K329" s="2"/>
      <c r="L329" s="20"/>
      <c r="M329" s="20"/>
      <c r="N329" s="101">
        <f t="shared" si="13"/>
        <v>1600000</v>
      </c>
      <c r="O329" s="479" t="s">
        <v>2378</v>
      </c>
    </row>
    <row r="330" spans="1:15" hidden="1" x14ac:dyDescent="0.25">
      <c r="A330" s="427">
        <f t="shared" si="14"/>
        <v>321</v>
      </c>
      <c r="B330" s="76" t="s">
        <v>434</v>
      </c>
      <c r="C330" s="346" t="s">
        <v>2417</v>
      </c>
      <c r="D330" s="439">
        <v>44238</v>
      </c>
      <c r="E330" s="439">
        <v>44238</v>
      </c>
      <c r="F330" s="450">
        <v>15500000</v>
      </c>
      <c r="G330" s="452">
        <v>17500000</v>
      </c>
      <c r="H330" s="120" t="s">
        <v>17</v>
      </c>
      <c r="I330" s="20"/>
      <c r="J330" s="85"/>
      <c r="K330" s="2"/>
      <c r="L330" s="20"/>
      <c r="M330" s="20"/>
      <c r="N330" s="101">
        <f t="shared" si="13"/>
        <v>2000000</v>
      </c>
      <c r="O330" s="479" t="s">
        <v>2378</v>
      </c>
    </row>
    <row r="331" spans="1:15" hidden="1" x14ac:dyDescent="0.25">
      <c r="A331" s="427">
        <f t="shared" si="14"/>
        <v>322</v>
      </c>
      <c r="B331" s="76" t="s">
        <v>434</v>
      </c>
      <c r="C331" s="346" t="s">
        <v>2418</v>
      </c>
      <c r="D331" s="439">
        <v>44238</v>
      </c>
      <c r="E331" s="439">
        <v>44243</v>
      </c>
      <c r="F331" s="450">
        <v>15500000</v>
      </c>
      <c r="G331" s="452">
        <v>17000000</v>
      </c>
      <c r="H331" s="120" t="s">
        <v>17</v>
      </c>
      <c r="I331" s="20"/>
      <c r="J331" s="85"/>
      <c r="K331" s="2"/>
      <c r="L331" s="20"/>
      <c r="M331" s="20"/>
      <c r="N331" s="101">
        <f t="shared" si="13"/>
        <v>1500000</v>
      </c>
      <c r="O331" s="484" t="s">
        <v>2491</v>
      </c>
    </row>
    <row r="332" spans="1:15" hidden="1" x14ac:dyDescent="0.25">
      <c r="A332" s="427">
        <f t="shared" si="14"/>
        <v>323</v>
      </c>
      <c r="B332" s="76" t="s">
        <v>434</v>
      </c>
      <c r="C332" s="346" t="s">
        <v>2419</v>
      </c>
      <c r="D332" s="439">
        <v>44238</v>
      </c>
      <c r="E332" s="439">
        <v>44257</v>
      </c>
      <c r="F332" s="450">
        <v>15500000</v>
      </c>
      <c r="G332" s="452">
        <v>15750000</v>
      </c>
      <c r="H332" s="488" t="s">
        <v>17</v>
      </c>
      <c r="I332" s="20"/>
      <c r="J332" s="85"/>
      <c r="K332" s="2"/>
      <c r="L332" s="20"/>
      <c r="M332" s="20"/>
      <c r="N332" s="101">
        <f t="shared" si="13"/>
        <v>250000</v>
      </c>
      <c r="O332" s="489" t="s">
        <v>2560</v>
      </c>
    </row>
    <row r="333" spans="1:15" hidden="1" x14ac:dyDescent="0.25">
      <c r="A333" s="427">
        <f t="shared" si="14"/>
        <v>324</v>
      </c>
      <c r="B333" s="76" t="s">
        <v>434</v>
      </c>
      <c r="C333" s="346" t="s">
        <v>2420</v>
      </c>
      <c r="D333" s="439">
        <v>44238</v>
      </c>
      <c r="E333" s="439">
        <v>44257</v>
      </c>
      <c r="F333" s="450">
        <v>15500000</v>
      </c>
      <c r="G333" s="452">
        <v>16650000</v>
      </c>
      <c r="H333" s="488" t="s">
        <v>17</v>
      </c>
      <c r="I333" s="20"/>
      <c r="J333" s="85"/>
      <c r="K333" s="2"/>
      <c r="L333" s="20"/>
      <c r="M333" s="20"/>
      <c r="N333" s="101">
        <f t="shared" si="13"/>
        <v>1150000</v>
      </c>
      <c r="O333" s="489" t="s">
        <v>2560</v>
      </c>
    </row>
    <row r="334" spans="1:15" hidden="1" x14ac:dyDescent="0.25">
      <c r="A334" s="427">
        <f t="shared" si="14"/>
        <v>325</v>
      </c>
      <c r="B334" s="76" t="s">
        <v>434</v>
      </c>
      <c r="C334" s="346" t="s">
        <v>2421</v>
      </c>
      <c r="D334" s="439">
        <v>44238</v>
      </c>
      <c r="E334" s="439">
        <v>44238</v>
      </c>
      <c r="F334" s="450">
        <v>15500000</v>
      </c>
      <c r="G334" s="452">
        <v>17250000</v>
      </c>
      <c r="H334" s="120" t="s">
        <v>17</v>
      </c>
      <c r="I334" s="20"/>
      <c r="J334" s="85"/>
      <c r="K334" s="2"/>
      <c r="L334" s="20"/>
      <c r="M334" s="20"/>
      <c r="N334" s="101">
        <f t="shared" si="13"/>
        <v>1750000</v>
      </c>
      <c r="O334" s="479" t="s">
        <v>2378</v>
      </c>
    </row>
    <row r="335" spans="1:15" hidden="1" x14ac:dyDescent="0.25">
      <c r="A335" s="427">
        <f t="shared" si="14"/>
        <v>326</v>
      </c>
      <c r="B335" s="76" t="s">
        <v>434</v>
      </c>
      <c r="C335" s="346" t="s">
        <v>2422</v>
      </c>
      <c r="D335" s="439">
        <v>44238</v>
      </c>
      <c r="E335" s="439">
        <v>44238</v>
      </c>
      <c r="F335" s="450">
        <v>15500000</v>
      </c>
      <c r="G335" s="452">
        <v>17250000</v>
      </c>
      <c r="H335" s="120" t="s">
        <v>17</v>
      </c>
      <c r="I335" s="20"/>
      <c r="J335" s="85"/>
      <c r="K335" s="2"/>
      <c r="L335" s="20"/>
      <c r="M335" s="20"/>
      <c r="N335" s="101">
        <f t="shared" si="13"/>
        <v>1750000</v>
      </c>
      <c r="O335" s="479" t="s">
        <v>2378</v>
      </c>
    </row>
    <row r="336" spans="1:15" hidden="1" x14ac:dyDescent="0.25">
      <c r="A336" s="427">
        <f t="shared" si="14"/>
        <v>327</v>
      </c>
      <c r="B336" s="76" t="s">
        <v>434</v>
      </c>
      <c r="C336" s="346" t="s">
        <v>2423</v>
      </c>
      <c r="D336" s="439">
        <v>44238</v>
      </c>
      <c r="E336" s="439">
        <v>44260</v>
      </c>
      <c r="F336" s="450">
        <v>15500000</v>
      </c>
      <c r="G336" s="452">
        <v>15500000</v>
      </c>
      <c r="H336" s="488" t="s">
        <v>17</v>
      </c>
      <c r="I336" s="20"/>
      <c r="J336" s="85"/>
      <c r="K336" s="2"/>
      <c r="L336" s="20"/>
      <c r="M336" s="20"/>
      <c r="N336" s="101">
        <f t="shared" si="13"/>
        <v>0</v>
      </c>
      <c r="O336" s="489" t="s">
        <v>2560</v>
      </c>
    </row>
    <row r="337" spans="1:17" hidden="1" x14ac:dyDescent="0.25">
      <c r="A337" s="427">
        <f t="shared" si="14"/>
        <v>328</v>
      </c>
      <c r="B337" s="76" t="s">
        <v>434</v>
      </c>
      <c r="C337" s="346" t="s">
        <v>2424</v>
      </c>
      <c r="D337" s="439">
        <v>44238</v>
      </c>
      <c r="E337" s="439">
        <v>44518</v>
      </c>
      <c r="F337" s="450">
        <v>15000000</v>
      </c>
      <c r="G337" s="452">
        <v>15575000</v>
      </c>
      <c r="H337" s="573" t="s">
        <v>17</v>
      </c>
      <c r="I337" s="20"/>
      <c r="J337" s="85"/>
      <c r="K337" s="2"/>
      <c r="L337" s="20"/>
      <c r="M337" s="20"/>
      <c r="N337" s="101">
        <f t="shared" si="13"/>
        <v>575000</v>
      </c>
      <c r="O337" s="603" t="s">
        <v>3430</v>
      </c>
    </row>
    <row r="338" spans="1:17" hidden="1" x14ac:dyDescent="0.25">
      <c r="A338" s="427">
        <f t="shared" si="14"/>
        <v>329</v>
      </c>
      <c r="B338" s="76" t="s">
        <v>434</v>
      </c>
      <c r="C338" s="346" t="s">
        <v>2425</v>
      </c>
      <c r="D338" s="439">
        <v>44238</v>
      </c>
      <c r="E338" s="439">
        <v>44243</v>
      </c>
      <c r="F338" s="450">
        <v>15500000</v>
      </c>
      <c r="G338" s="452">
        <v>17000000</v>
      </c>
      <c r="H338" s="120" t="s">
        <v>17</v>
      </c>
      <c r="I338" s="20"/>
      <c r="J338" s="85"/>
      <c r="K338" s="2"/>
      <c r="L338" s="20"/>
      <c r="M338" s="20"/>
      <c r="N338" s="101">
        <f t="shared" si="13"/>
        <v>1500000</v>
      </c>
      <c r="O338" s="484" t="s">
        <v>2491</v>
      </c>
    </row>
    <row r="339" spans="1:17" hidden="1" x14ac:dyDescent="0.25">
      <c r="A339" s="427">
        <f t="shared" si="14"/>
        <v>330</v>
      </c>
      <c r="B339" s="76" t="s">
        <v>434</v>
      </c>
      <c r="C339" s="346" t="s">
        <v>2426</v>
      </c>
      <c r="D339" s="439">
        <v>44238</v>
      </c>
      <c r="E339" s="439">
        <v>44250</v>
      </c>
      <c r="F339" s="450">
        <v>15500000</v>
      </c>
      <c r="G339" s="452">
        <v>16750000</v>
      </c>
      <c r="H339" s="120" t="s">
        <v>17</v>
      </c>
      <c r="I339" s="20"/>
      <c r="J339" s="85"/>
      <c r="K339" s="2"/>
      <c r="L339" s="20"/>
      <c r="M339" s="20"/>
      <c r="N339" s="101">
        <f t="shared" si="13"/>
        <v>1250000</v>
      </c>
      <c r="O339" s="486" t="s">
        <v>2547</v>
      </c>
    </row>
    <row r="340" spans="1:17" hidden="1" x14ac:dyDescent="0.25">
      <c r="A340" s="427">
        <f t="shared" si="14"/>
        <v>331</v>
      </c>
      <c r="B340" s="76" t="s">
        <v>224</v>
      </c>
      <c r="C340" s="346" t="s">
        <v>2561</v>
      </c>
      <c r="D340" s="439">
        <v>44260</v>
      </c>
      <c r="E340" s="439">
        <v>44315</v>
      </c>
      <c r="F340" s="450">
        <v>7500000</v>
      </c>
      <c r="G340" s="452">
        <v>8000000</v>
      </c>
      <c r="H340" s="488" t="s">
        <v>17</v>
      </c>
      <c r="I340" s="20"/>
      <c r="J340" s="85"/>
      <c r="K340" s="2"/>
      <c r="L340" s="20"/>
      <c r="M340" s="20"/>
      <c r="N340" s="101">
        <f t="shared" si="13"/>
        <v>500000</v>
      </c>
      <c r="O340" s="527" t="s">
        <v>2740</v>
      </c>
    </row>
    <row r="341" spans="1:17" hidden="1" x14ac:dyDescent="0.25">
      <c r="A341" s="427">
        <f t="shared" si="14"/>
        <v>332</v>
      </c>
      <c r="B341" s="76" t="s">
        <v>434</v>
      </c>
      <c r="C341" s="346" t="s">
        <v>2627</v>
      </c>
      <c r="D341" s="439">
        <v>44273</v>
      </c>
      <c r="E341" s="439">
        <v>44275</v>
      </c>
      <c r="F341" s="452">
        <v>15000000</v>
      </c>
      <c r="G341" s="452">
        <v>17250000</v>
      </c>
      <c r="H341" s="488" t="s">
        <v>17</v>
      </c>
      <c r="I341" s="20"/>
      <c r="J341" s="85"/>
      <c r="K341" s="2"/>
      <c r="L341" s="20"/>
      <c r="M341" s="20"/>
      <c r="N341" s="101">
        <f>G341-F341</f>
        <v>2250000</v>
      </c>
      <c r="O341" s="499" t="s">
        <v>2625</v>
      </c>
    </row>
    <row r="342" spans="1:17" hidden="1" x14ac:dyDescent="0.25">
      <c r="A342" s="427">
        <f t="shared" si="14"/>
        <v>333</v>
      </c>
      <c r="B342" s="76" t="s">
        <v>434</v>
      </c>
      <c r="C342" s="398" t="s">
        <v>2628</v>
      </c>
      <c r="D342" s="439">
        <v>44273</v>
      </c>
      <c r="E342" s="439">
        <v>44274</v>
      </c>
      <c r="F342" s="452">
        <v>15000000</v>
      </c>
      <c r="G342" s="452">
        <v>16000000</v>
      </c>
      <c r="H342" s="488" t="s">
        <v>17</v>
      </c>
      <c r="I342" s="94"/>
      <c r="J342" s="94"/>
      <c r="K342" s="3"/>
      <c r="L342" s="94"/>
      <c r="M342" s="94"/>
      <c r="N342" s="101">
        <f t="shared" si="13"/>
        <v>1000000</v>
      </c>
      <c r="O342" s="499" t="s">
        <v>2625</v>
      </c>
    </row>
    <row r="343" spans="1:17" hidden="1" x14ac:dyDescent="0.25">
      <c r="A343" s="427">
        <f t="shared" si="14"/>
        <v>334</v>
      </c>
      <c r="B343" s="76" t="s">
        <v>434</v>
      </c>
      <c r="C343" s="346" t="s">
        <v>2629</v>
      </c>
      <c r="D343" s="439">
        <v>44273</v>
      </c>
      <c r="E343" s="439">
        <v>44298</v>
      </c>
      <c r="F343" s="452">
        <v>15000000</v>
      </c>
      <c r="G343" s="452">
        <v>17000000</v>
      </c>
      <c r="H343" s="488" t="s">
        <v>17</v>
      </c>
      <c r="I343" s="20"/>
      <c r="J343" s="85"/>
      <c r="K343" s="2"/>
      <c r="L343" s="20"/>
      <c r="M343" s="20"/>
      <c r="N343" s="101">
        <f t="shared" si="13"/>
        <v>2000000</v>
      </c>
      <c r="O343" s="519" t="s">
        <v>2684</v>
      </c>
    </row>
    <row r="344" spans="1:17" hidden="1" x14ac:dyDescent="0.25">
      <c r="A344" s="427">
        <f t="shared" si="14"/>
        <v>335</v>
      </c>
      <c r="B344" s="76" t="s">
        <v>434</v>
      </c>
      <c r="C344" s="346" t="s">
        <v>2630</v>
      </c>
      <c r="D344" s="439">
        <v>44273</v>
      </c>
      <c r="E344" s="439">
        <v>44288</v>
      </c>
      <c r="F344" s="452">
        <v>15000000</v>
      </c>
      <c r="G344" s="452">
        <v>16750000</v>
      </c>
      <c r="H344" s="120" t="s">
        <v>17</v>
      </c>
      <c r="I344" s="20"/>
      <c r="J344" s="20"/>
      <c r="K344" s="2"/>
      <c r="L344" s="20"/>
      <c r="M344" s="20"/>
      <c r="N344" s="101">
        <f t="shared" si="13"/>
        <v>1750000</v>
      </c>
      <c r="O344" s="514" t="s">
        <v>2683</v>
      </c>
    </row>
    <row r="345" spans="1:17" hidden="1" x14ac:dyDescent="0.25">
      <c r="A345" s="427">
        <f t="shared" si="14"/>
        <v>336</v>
      </c>
      <c r="B345" s="76" t="s">
        <v>434</v>
      </c>
      <c r="C345" s="346" t="s">
        <v>2631</v>
      </c>
      <c r="D345" s="439">
        <v>44273</v>
      </c>
      <c r="E345" s="439">
        <v>44288</v>
      </c>
      <c r="F345" s="452">
        <v>15000000</v>
      </c>
      <c r="G345" s="452">
        <v>16500000</v>
      </c>
      <c r="H345" s="120" t="s">
        <v>17</v>
      </c>
      <c r="I345" s="20"/>
      <c r="J345" s="20"/>
      <c r="K345" s="2"/>
      <c r="L345" s="20"/>
      <c r="M345" s="20"/>
      <c r="N345" s="101">
        <f t="shared" si="13"/>
        <v>1500000</v>
      </c>
      <c r="O345" s="514" t="s">
        <v>2683</v>
      </c>
    </row>
    <row r="346" spans="1:17" hidden="1" x14ac:dyDescent="0.25">
      <c r="A346" s="427">
        <f t="shared" si="14"/>
        <v>337</v>
      </c>
      <c r="B346" s="76" t="s">
        <v>434</v>
      </c>
      <c r="C346" s="346" t="s">
        <v>2632</v>
      </c>
      <c r="D346" s="439">
        <v>44273</v>
      </c>
      <c r="E346" s="439">
        <v>44316</v>
      </c>
      <c r="F346" s="452">
        <v>15000000</v>
      </c>
      <c r="G346" s="452">
        <v>16500000</v>
      </c>
      <c r="H346" s="488" t="s">
        <v>17</v>
      </c>
      <c r="I346" s="20"/>
      <c r="J346" s="85"/>
      <c r="K346" s="2"/>
      <c r="L346" s="20"/>
      <c r="M346" s="20"/>
      <c r="N346" s="101">
        <f t="shared" si="13"/>
        <v>1500000</v>
      </c>
      <c r="O346" s="527" t="s">
        <v>2740</v>
      </c>
    </row>
    <row r="347" spans="1:17" hidden="1" x14ac:dyDescent="0.25">
      <c r="A347" s="427">
        <f t="shared" si="14"/>
        <v>338</v>
      </c>
      <c r="B347" s="76" t="s">
        <v>434</v>
      </c>
      <c r="C347" s="346" t="s">
        <v>2633</v>
      </c>
      <c r="D347" s="439">
        <v>44273</v>
      </c>
      <c r="E347" s="439">
        <v>44273</v>
      </c>
      <c r="F347" s="452">
        <v>15000000</v>
      </c>
      <c r="G347" s="452">
        <v>17500000</v>
      </c>
      <c r="H347" s="488" t="s">
        <v>17</v>
      </c>
      <c r="I347" s="20"/>
      <c r="J347" s="20"/>
      <c r="K347" s="2"/>
      <c r="L347" s="20"/>
      <c r="M347" s="20"/>
      <c r="N347" s="101">
        <f t="shared" si="13"/>
        <v>2500000</v>
      </c>
      <c r="O347" s="499" t="s">
        <v>2625</v>
      </c>
      <c r="P347" t="s">
        <v>956</v>
      </c>
    </row>
    <row r="348" spans="1:17" hidden="1" x14ac:dyDescent="0.25">
      <c r="A348" s="427">
        <f t="shared" si="14"/>
        <v>339</v>
      </c>
      <c r="B348" s="76" t="s">
        <v>434</v>
      </c>
      <c r="C348" s="346" t="s">
        <v>2634</v>
      </c>
      <c r="D348" s="439">
        <v>44273</v>
      </c>
      <c r="E348" s="439">
        <v>44320</v>
      </c>
      <c r="F348" s="452">
        <v>15000000</v>
      </c>
      <c r="G348" s="452">
        <v>16500000</v>
      </c>
      <c r="H348" s="488" t="s">
        <v>17</v>
      </c>
      <c r="I348" s="20"/>
      <c r="J348" s="20"/>
      <c r="K348" s="2"/>
      <c r="L348" s="20"/>
      <c r="M348" s="20"/>
      <c r="N348" s="101">
        <f t="shared" si="13"/>
        <v>1500000</v>
      </c>
      <c r="O348" s="531" t="s">
        <v>2765</v>
      </c>
    </row>
    <row r="349" spans="1:17" hidden="1" x14ac:dyDescent="0.25">
      <c r="A349" s="427">
        <f t="shared" si="14"/>
        <v>340</v>
      </c>
      <c r="B349" s="76" t="s">
        <v>434</v>
      </c>
      <c r="C349" s="346" t="s">
        <v>2635</v>
      </c>
      <c r="D349" s="439">
        <v>44273</v>
      </c>
      <c r="E349" s="439">
        <v>44307</v>
      </c>
      <c r="F349" s="452">
        <v>15000000</v>
      </c>
      <c r="G349" s="452">
        <v>16675000</v>
      </c>
      <c r="H349" s="488" t="s">
        <v>17</v>
      </c>
      <c r="I349" s="20"/>
      <c r="J349" s="20"/>
      <c r="K349" s="2"/>
      <c r="L349" s="20"/>
      <c r="M349" s="20"/>
      <c r="N349" s="101">
        <f t="shared" si="13"/>
        <v>1675000</v>
      </c>
      <c r="O349" s="523" t="s">
        <v>2723</v>
      </c>
      <c r="Q349" t="s">
        <v>956</v>
      </c>
    </row>
    <row r="350" spans="1:17" hidden="1" x14ac:dyDescent="0.25">
      <c r="A350" s="427">
        <f t="shared" si="14"/>
        <v>341</v>
      </c>
      <c r="B350" s="76" t="s">
        <v>434</v>
      </c>
      <c r="C350" s="346" t="s">
        <v>2636</v>
      </c>
      <c r="D350" s="439">
        <v>44273</v>
      </c>
      <c r="E350" s="439">
        <v>44274</v>
      </c>
      <c r="F350" s="452">
        <v>15000000</v>
      </c>
      <c r="G350" s="452">
        <v>16350000</v>
      </c>
      <c r="H350" s="488" t="s">
        <v>17</v>
      </c>
      <c r="I350" s="20"/>
      <c r="J350" s="85"/>
      <c r="K350" s="2"/>
      <c r="L350" s="20"/>
      <c r="M350" s="20"/>
      <c r="N350" s="101">
        <f t="shared" si="13"/>
        <v>1350000</v>
      </c>
      <c r="O350" s="499" t="s">
        <v>2625</v>
      </c>
    </row>
    <row r="351" spans="1:17" hidden="1" x14ac:dyDescent="0.25">
      <c r="A351" s="427">
        <f t="shared" si="14"/>
        <v>342</v>
      </c>
      <c r="B351" s="76" t="s">
        <v>434</v>
      </c>
      <c r="C351" s="346" t="s">
        <v>2637</v>
      </c>
      <c r="D351" s="439">
        <v>44273</v>
      </c>
      <c r="E351" s="439">
        <v>44300</v>
      </c>
      <c r="F351" s="452">
        <v>15000000</v>
      </c>
      <c r="G351" s="452">
        <v>16600000</v>
      </c>
      <c r="H351" s="488" t="s">
        <v>17</v>
      </c>
      <c r="I351" s="20"/>
      <c r="J351" s="20"/>
      <c r="K351" s="2"/>
      <c r="L351" s="20"/>
      <c r="M351" s="20"/>
      <c r="N351" s="101">
        <f t="shared" si="13"/>
        <v>1600000</v>
      </c>
      <c r="O351" s="521" t="s">
        <v>2715</v>
      </c>
    </row>
    <row r="352" spans="1:17" hidden="1" x14ac:dyDescent="0.25">
      <c r="A352" s="427">
        <f t="shared" si="14"/>
        <v>343</v>
      </c>
      <c r="B352" s="76" t="s">
        <v>434</v>
      </c>
      <c r="C352" s="346" t="s">
        <v>2638</v>
      </c>
      <c r="D352" s="439">
        <v>44273</v>
      </c>
      <c r="E352" s="439">
        <v>44371</v>
      </c>
      <c r="F352" s="452">
        <v>15500000</v>
      </c>
      <c r="G352" s="452">
        <v>15700000</v>
      </c>
      <c r="H352" s="396" t="s">
        <v>17</v>
      </c>
      <c r="I352" s="20"/>
      <c r="J352" s="20"/>
      <c r="K352" s="2"/>
      <c r="L352" s="20"/>
      <c r="M352" s="20"/>
      <c r="N352" s="101">
        <f t="shared" si="13"/>
        <v>200000</v>
      </c>
      <c r="O352" s="551" t="s">
        <v>2975</v>
      </c>
    </row>
    <row r="353" spans="1:15" hidden="1" x14ac:dyDescent="0.25">
      <c r="A353" s="427">
        <f t="shared" si="14"/>
        <v>344</v>
      </c>
      <c r="B353" s="76" t="s">
        <v>434</v>
      </c>
      <c r="C353" s="346" t="s">
        <v>2639</v>
      </c>
      <c r="D353" s="439">
        <v>44273</v>
      </c>
      <c r="E353" s="439">
        <v>44312</v>
      </c>
      <c r="F353" s="452">
        <v>15000000</v>
      </c>
      <c r="G353" s="452">
        <v>16650000</v>
      </c>
      <c r="H353" s="488" t="s">
        <v>17</v>
      </c>
      <c r="I353" s="20"/>
      <c r="J353" s="20"/>
      <c r="K353" s="2"/>
      <c r="L353" s="20"/>
      <c r="M353" s="20"/>
      <c r="N353" s="101">
        <f t="shared" si="13"/>
        <v>1650000</v>
      </c>
      <c r="O353" s="521" t="s">
        <v>2715</v>
      </c>
    </row>
    <row r="354" spans="1:15" hidden="1" x14ac:dyDescent="0.25">
      <c r="A354" s="427">
        <f t="shared" si="14"/>
        <v>345</v>
      </c>
      <c r="B354" s="76" t="s">
        <v>434</v>
      </c>
      <c r="C354" s="346" t="s">
        <v>2640</v>
      </c>
      <c r="D354" s="439">
        <v>44273</v>
      </c>
      <c r="E354" s="439">
        <v>44277</v>
      </c>
      <c r="F354" s="452">
        <v>15000000</v>
      </c>
      <c r="G354" s="452">
        <v>16750000</v>
      </c>
      <c r="H354" s="120" t="s">
        <v>17</v>
      </c>
      <c r="I354" s="20"/>
      <c r="J354" s="20"/>
      <c r="K354" s="2"/>
      <c r="L354" s="20"/>
      <c r="M354" s="20"/>
      <c r="N354" s="101">
        <f t="shared" si="13"/>
        <v>1750000</v>
      </c>
      <c r="O354" s="503" t="s">
        <v>2647</v>
      </c>
    </row>
    <row r="355" spans="1:15" hidden="1" x14ac:dyDescent="0.25">
      <c r="A355" s="427">
        <f t="shared" si="14"/>
        <v>346</v>
      </c>
      <c r="B355" s="76" t="s">
        <v>434</v>
      </c>
      <c r="C355" s="346" t="s">
        <v>2641</v>
      </c>
      <c r="D355" s="439">
        <v>44273</v>
      </c>
      <c r="E355" s="439">
        <v>44299</v>
      </c>
      <c r="F355" s="452">
        <v>15000000</v>
      </c>
      <c r="G355" s="452">
        <v>16750000</v>
      </c>
      <c r="H355" s="488" t="s">
        <v>17</v>
      </c>
      <c r="I355" s="20"/>
      <c r="J355" s="20"/>
      <c r="K355" s="2"/>
      <c r="L355" s="20"/>
      <c r="M355" s="20"/>
      <c r="N355" s="101">
        <f t="shared" si="13"/>
        <v>1750000</v>
      </c>
      <c r="O355" s="521" t="s">
        <v>2715</v>
      </c>
    </row>
    <row r="356" spans="1:15" hidden="1" x14ac:dyDescent="0.25">
      <c r="A356" s="427">
        <f t="shared" si="14"/>
        <v>347</v>
      </c>
      <c r="B356" s="76" t="s">
        <v>434</v>
      </c>
      <c r="C356" s="346" t="s">
        <v>2642</v>
      </c>
      <c r="D356" s="439">
        <v>44273</v>
      </c>
      <c r="E356" s="439">
        <v>44288</v>
      </c>
      <c r="F356" s="452">
        <v>15000000</v>
      </c>
      <c r="G356" s="452">
        <v>16875000</v>
      </c>
      <c r="H356" s="120" t="s">
        <v>17</v>
      </c>
      <c r="I356" s="20"/>
      <c r="J356" s="20"/>
      <c r="K356" s="2"/>
      <c r="L356" s="20"/>
      <c r="M356" s="20"/>
      <c r="N356" s="101">
        <f t="shared" si="13"/>
        <v>1875000</v>
      </c>
      <c r="O356" s="514" t="s">
        <v>2683</v>
      </c>
    </row>
    <row r="357" spans="1:15" hidden="1" x14ac:dyDescent="0.25">
      <c r="A357" s="427">
        <f t="shared" si="14"/>
        <v>348</v>
      </c>
      <c r="B357" s="76" t="s">
        <v>434</v>
      </c>
      <c r="C357" s="346" t="s">
        <v>2643</v>
      </c>
      <c r="D357" s="439">
        <v>44273</v>
      </c>
      <c r="E357" s="439">
        <v>44288</v>
      </c>
      <c r="F357" s="452">
        <v>15000000</v>
      </c>
      <c r="G357" s="452">
        <v>16300000</v>
      </c>
      <c r="H357" s="120" t="s">
        <v>17</v>
      </c>
      <c r="I357" s="20"/>
      <c r="J357" s="20"/>
      <c r="K357" s="2"/>
      <c r="L357" s="20"/>
      <c r="M357" s="20"/>
      <c r="N357" s="101">
        <f t="shared" si="13"/>
        <v>1300000</v>
      </c>
      <c r="O357" s="514" t="s">
        <v>2683</v>
      </c>
    </row>
    <row r="358" spans="1:15" hidden="1" x14ac:dyDescent="0.25">
      <c r="A358" s="427">
        <f t="shared" si="14"/>
        <v>349</v>
      </c>
      <c r="B358" s="76" t="s">
        <v>434</v>
      </c>
      <c r="C358" s="346" t="s">
        <v>2644</v>
      </c>
      <c r="D358" s="439">
        <v>44273</v>
      </c>
      <c r="E358" s="439">
        <v>44274</v>
      </c>
      <c r="F358" s="452">
        <v>15000000</v>
      </c>
      <c r="G358" s="452">
        <v>17750000</v>
      </c>
      <c r="H358" s="488" t="s">
        <v>17</v>
      </c>
      <c r="I358" s="20"/>
      <c r="J358" s="20"/>
      <c r="K358" s="2"/>
      <c r="L358" s="20"/>
      <c r="M358" s="20"/>
      <c r="N358" s="101">
        <f t="shared" si="13"/>
        <v>2750000</v>
      </c>
      <c r="O358" s="499" t="s">
        <v>2625</v>
      </c>
    </row>
    <row r="359" spans="1:15" hidden="1" x14ac:dyDescent="0.25">
      <c r="A359" s="427">
        <f t="shared" si="14"/>
        <v>350</v>
      </c>
      <c r="B359" s="76" t="s">
        <v>434</v>
      </c>
      <c r="C359" s="346" t="s">
        <v>2645</v>
      </c>
      <c r="D359" s="439">
        <v>44273</v>
      </c>
      <c r="E359" s="439">
        <v>44274</v>
      </c>
      <c r="F359" s="452">
        <v>15000000</v>
      </c>
      <c r="G359" s="452">
        <v>17000000</v>
      </c>
      <c r="H359" s="488" t="s">
        <v>17</v>
      </c>
      <c r="I359" s="20"/>
      <c r="J359" s="20"/>
      <c r="K359" s="2"/>
      <c r="L359" s="20"/>
      <c r="M359" s="20"/>
      <c r="N359" s="101">
        <f t="shared" si="13"/>
        <v>2000000</v>
      </c>
      <c r="O359" s="499" t="s">
        <v>2625</v>
      </c>
    </row>
    <row r="360" spans="1:15" hidden="1" x14ac:dyDescent="0.25">
      <c r="A360" s="427">
        <f t="shared" si="14"/>
        <v>351</v>
      </c>
      <c r="B360" s="434" t="s">
        <v>434</v>
      </c>
      <c r="C360" s="398" t="s">
        <v>2646</v>
      </c>
      <c r="D360" s="441">
        <v>44273</v>
      </c>
      <c r="E360" s="441">
        <v>44321</v>
      </c>
      <c r="F360" s="454">
        <v>15000000</v>
      </c>
      <c r="G360" s="454">
        <v>15250000</v>
      </c>
      <c r="H360" s="488" t="s">
        <v>17</v>
      </c>
      <c r="I360" s="94"/>
      <c r="J360" s="94"/>
      <c r="K360" s="3"/>
      <c r="L360" s="94"/>
      <c r="M360" s="94"/>
      <c r="N360" s="101">
        <f t="shared" si="13"/>
        <v>250000</v>
      </c>
      <c r="O360" s="531" t="s">
        <v>2765</v>
      </c>
    </row>
    <row r="361" spans="1:15" hidden="1" x14ac:dyDescent="0.25">
      <c r="A361" s="427">
        <f t="shared" si="14"/>
        <v>352</v>
      </c>
      <c r="B361" s="434" t="s">
        <v>224</v>
      </c>
      <c r="C361" s="398" t="s">
        <v>1478</v>
      </c>
      <c r="D361" s="441">
        <v>44274</v>
      </c>
      <c r="E361" s="441">
        <v>44394</v>
      </c>
      <c r="F361" s="454">
        <v>7500000</v>
      </c>
      <c r="G361" s="454">
        <v>8250000</v>
      </c>
      <c r="H361" s="396" t="s">
        <v>17</v>
      </c>
      <c r="I361" s="137"/>
      <c r="J361" s="144"/>
      <c r="L361" s="94"/>
      <c r="M361" s="94"/>
      <c r="N361" s="94">
        <f t="shared" si="13"/>
        <v>750000</v>
      </c>
      <c r="O361" s="562" t="s">
        <v>3041</v>
      </c>
    </row>
    <row r="362" spans="1:15" hidden="1" x14ac:dyDescent="0.25">
      <c r="A362" s="427">
        <f t="shared" si="14"/>
        <v>353</v>
      </c>
      <c r="B362" s="76" t="s">
        <v>436</v>
      </c>
      <c r="C362" s="346" t="s">
        <v>2751</v>
      </c>
      <c r="D362" s="439">
        <v>44314</v>
      </c>
      <c r="E362" s="441">
        <v>44326</v>
      </c>
      <c r="F362" s="452">
        <v>13550000</v>
      </c>
      <c r="G362" s="452">
        <v>16500000</v>
      </c>
      <c r="H362" s="488" t="s">
        <v>17</v>
      </c>
      <c r="I362" s="107"/>
      <c r="J362" s="242"/>
      <c r="K362" s="128"/>
      <c r="L362" s="20"/>
      <c r="M362" s="20"/>
      <c r="N362" s="101">
        <f t="shared" si="13"/>
        <v>2950000</v>
      </c>
      <c r="O362" s="533" t="s">
        <v>2783</v>
      </c>
    </row>
    <row r="363" spans="1:15" hidden="1" x14ac:dyDescent="0.25">
      <c r="A363" s="427">
        <f t="shared" si="14"/>
        <v>354</v>
      </c>
      <c r="B363" s="76" t="s">
        <v>436</v>
      </c>
      <c r="C363" s="346" t="s">
        <v>2752</v>
      </c>
      <c r="D363" s="439">
        <v>44314</v>
      </c>
      <c r="E363" s="441" t="s">
        <v>379</v>
      </c>
      <c r="F363" s="452">
        <v>13550000</v>
      </c>
      <c r="G363" s="452">
        <v>15750000</v>
      </c>
      <c r="H363" s="488" t="s">
        <v>17</v>
      </c>
      <c r="I363" s="107"/>
      <c r="J363" s="85"/>
      <c r="K363" s="2"/>
      <c r="L363" s="20"/>
      <c r="M363" s="20"/>
      <c r="N363" s="101">
        <f t="shared" si="13"/>
        <v>2200000</v>
      </c>
      <c r="O363" s="531" t="s">
        <v>2765</v>
      </c>
    </row>
    <row r="364" spans="1:15" hidden="1" x14ac:dyDescent="0.25">
      <c r="A364" s="427">
        <f t="shared" si="14"/>
        <v>355</v>
      </c>
      <c r="B364" s="76" t="s">
        <v>436</v>
      </c>
      <c r="C364" s="346" t="s">
        <v>2753</v>
      </c>
      <c r="D364" s="439">
        <v>44314</v>
      </c>
      <c r="E364" s="441">
        <v>44330</v>
      </c>
      <c r="F364" s="452">
        <v>13550000</v>
      </c>
      <c r="G364" s="452">
        <v>14800000</v>
      </c>
      <c r="H364" s="488" t="s">
        <v>17</v>
      </c>
      <c r="I364" s="20"/>
      <c r="J364" s="85"/>
      <c r="K364" s="2"/>
      <c r="L364" s="20"/>
      <c r="M364" s="20"/>
      <c r="N364" s="94">
        <f t="shared" si="13"/>
        <v>1250000</v>
      </c>
      <c r="O364" s="533" t="s">
        <v>2783</v>
      </c>
    </row>
    <row r="365" spans="1:15" hidden="1" x14ac:dyDescent="0.25">
      <c r="A365" s="427">
        <f t="shared" si="14"/>
        <v>356</v>
      </c>
      <c r="B365" s="76" t="s">
        <v>436</v>
      </c>
      <c r="C365" s="346" t="s">
        <v>2754</v>
      </c>
      <c r="D365" s="439">
        <v>44314</v>
      </c>
      <c r="E365" s="441">
        <v>44418</v>
      </c>
      <c r="F365" s="452">
        <v>13550000</v>
      </c>
      <c r="G365" s="452">
        <v>14150000</v>
      </c>
      <c r="H365" s="573" t="s">
        <v>17</v>
      </c>
      <c r="I365" s="20"/>
      <c r="J365" s="85"/>
      <c r="K365" s="2"/>
      <c r="L365" s="20"/>
      <c r="M365" s="20"/>
      <c r="N365" s="94">
        <f t="shared" si="13"/>
        <v>600000</v>
      </c>
      <c r="O365" s="576" t="s">
        <v>3169</v>
      </c>
    </row>
    <row r="366" spans="1:15" hidden="1" x14ac:dyDescent="0.25">
      <c r="A366" s="427">
        <f t="shared" si="14"/>
        <v>357</v>
      </c>
      <c r="B366" s="76" t="s">
        <v>87</v>
      </c>
      <c r="C366" s="346" t="s">
        <v>2755</v>
      </c>
      <c r="D366" s="439">
        <v>44314</v>
      </c>
      <c r="E366" s="441">
        <v>44320</v>
      </c>
      <c r="F366" s="452">
        <v>11000000</v>
      </c>
      <c r="G366" s="452">
        <v>12350000</v>
      </c>
      <c r="H366" s="488" t="s">
        <v>17</v>
      </c>
      <c r="I366" s="20"/>
      <c r="J366" s="85"/>
      <c r="K366" s="2"/>
      <c r="L366" s="20"/>
      <c r="M366" s="20"/>
      <c r="N366" s="94">
        <f t="shared" si="13"/>
        <v>1350000</v>
      </c>
      <c r="O366" s="531" t="s">
        <v>2765</v>
      </c>
    </row>
    <row r="367" spans="1:15" hidden="1" x14ac:dyDescent="0.25">
      <c r="A367" s="427">
        <f t="shared" si="14"/>
        <v>358</v>
      </c>
      <c r="B367" s="434" t="s">
        <v>87</v>
      </c>
      <c r="C367" s="398" t="s">
        <v>2756</v>
      </c>
      <c r="D367" s="441">
        <v>44314</v>
      </c>
      <c r="E367" s="441">
        <v>44335</v>
      </c>
      <c r="F367" s="455">
        <v>10500000</v>
      </c>
      <c r="G367" s="137">
        <v>11750000</v>
      </c>
      <c r="H367" s="488" t="s">
        <v>17</v>
      </c>
      <c r="I367" s="94"/>
      <c r="J367" s="94"/>
      <c r="K367" s="3"/>
      <c r="L367" s="94"/>
      <c r="M367" s="94"/>
      <c r="N367" s="94">
        <f t="shared" si="13"/>
        <v>1250000</v>
      </c>
      <c r="O367" s="535" t="s">
        <v>2811</v>
      </c>
    </row>
    <row r="368" spans="1:15" hidden="1" x14ac:dyDescent="0.25">
      <c r="A368" s="427">
        <f t="shared" si="14"/>
        <v>359</v>
      </c>
      <c r="B368" s="434" t="s">
        <v>87</v>
      </c>
      <c r="C368" s="346" t="s">
        <v>2785</v>
      </c>
      <c r="D368" s="439">
        <v>44326</v>
      </c>
      <c r="E368" s="441">
        <v>44327</v>
      </c>
      <c r="F368" s="450">
        <v>10550000</v>
      </c>
      <c r="G368" s="107">
        <v>11650000</v>
      </c>
      <c r="H368" s="488" t="s">
        <v>17</v>
      </c>
      <c r="I368" s="20"/>
      <c r="J368" s="20"/>
      <c r="K368" s="2"/>
      <c r="L368" s="20"/>
      <c r="M368" s="20"/>
      <c r="N368" s="20">
        <f t="shared" si="13"/>
        <v>1100000</v>
      </c>
      <c r="O368" s="533" t="s">
        <v>2783</v>
      </c>
    </row>
    <row r="369" spans="1:15" hidden="1" x14ac:dyDescent="0.25">
      <c r="A369" s="427">
        <f t="shared" si="14"/>
        <v>360</v>
      </c>
      <c r="B369" s="434" t="s">
        <v>87</v>
      </c>
      <c r="C369" s="346" t="s">
        <v>2819</v>
      </c>
      <c r="D369" s="439">
        <v>44326</v>
      </c>
      <c r="E369" s="441">
        <v>44333</v>
      </c>
      <c r="F369" s="450">
        <v>10550000</v>
      </c>
      <c r="G369" s="107">
        <v>11750000</v>
      </c>
      <c r="H369" s="488" t="s">
        <v>17</v>
      </c>
      <c r="I369" s="20"/>
      <c r="J369" s="20"/>
      <c r="K369" s="2"/>
      <c r="L369" s="20"/>
      <c r="M369" s="20"/>
      <c r="N369" s="152">
        <f t="shared" si="13"/>
        <v>1200000</v>
      </c>
      <c r="O369" s="535" t="s">
        <v>2811</v>
      </c>
    </row>
    <row r="370" spans="1:15" hidden="1" x14ac:dyDescent="0.25">
      <c r="A370" s="427">
        <f t="shared" si="14"/>
        <v>361</v>
      </c>
      <c r="B370" s="434" t="s">
        <v>87</v>
      </c>
      <c r="C370" s="346" t="s">
        <v>2822</v>
      </c>
      <c r="D370" s="439">
        <v>44326</v>
      </c>
      <c r="E370" s="441">
        <v>44350</v>
      </c>
      <c r="F370" s="450">
        <v>10550000</v>
      </c>
      <c r="G370" s="107">
        <v>11500000</v>
      </c>
      <c r="H370" s="396" t="s">
        <v>17</v>
      </c>
      <c r="I370" s="20"/>
      <c r="J370" s="20"/>
      <c r="K370" s="2"/>
      <c r="L370" s="20"/>
      <c r="M370" s="20"/>
      <c r="N370" s="20">
        <f t="shared" ref="N370:N433" si="15">G370-F370</f>
        <v>950000</v>
      </c>
      <c r="O370" s="540" t="s">
        <v>2888</v>
      </c>
    </row>
    <row r="371" spans="1:15" hidden="1" x14ac:dyDescent="0.25">
      <c r="A371" s="427">
        <f t="shared" si="14"/>
        <v>362</v>
      </c>
      <c r="B371" s="434" t="s">
        <v>87</v>
      </c>
      <c r="C371" s="398" t="s">
        <v>2806</v>
      </c>
      <c r="D371" s="441">
        <v>44326</v>
      </c>
      <c r="E371" s="441">
        <v>44329</v>
      </c>
      <c r="F371" s="455">
        <v>10600000</v>
      </c>
      <c r="G371" s="137">
        <v>13000000</v>
      </c>
      <c r="H371" s="396" t="s">
        <v>17</v>
      </c>
      <c r="I371" s="94"/>
      <c r="J371" s="94"/>
      <c r="K371" s="3"/>
      <c r="L371" s="94"/>
      <c r="M371" s="94"/>
      <c r="N371" s="94">
        <f t="shared" si="15"/>
        <v>2400000</v>
      </c>
      <c r="O371" s="533" t="s">
        <v>2783</v>
      </c>
    </row>
    <row r="372" spans="1:15" hidden="1" x14ac:dyDescent="0.25">
      <c r="A372" s="427">
        <f t="shared" si="14"/>
        <v>363</v>
      </c>
      <c r="B372" s="76" t="s">
        <v>224</v>
      </c>
      <c r="C372" s="346" t="s">
        <v>2821</v>
      </c>
      <c r="D372" s="439">
        <v>44333</v>
      </c>
      <c r="E372" s="441">
        <v>44341</v>
      </c>
      <c r="F372" s="450">
        <v>8750000</v>
      </c>
      <c r="G372" s="452">
        <v>10250000</v>
      </c>
      <c r="H372" s="396" t="s">
        <v>17</v>
      </c>
      <c r="I372" s="20"/>
      <c r="J372" s="20"/>
      <c r="K372" s="2"/>
      <c r="L372" s="20"/>
      <c r="M372" s="20"/>
      <c r="N372" s="101">
        <f t="shared" si="15"/>
        <v>1500000</v>
      </c>
      <c r="O372" s="538" t="s">
        <v>2831</v>
      </c>
    </row>
    <row r="373" spans="1:15" hidden="1" x14ac:dyDescent="0.25">
      <c r="A373" s="427">
        <f t="shared" si="14"/>
        <v>364</v>
      </c>
      <c r="B373" s="76" t="s">
        <v>224</v>
      </c>
      <c r="C373" s="346" t="s">
        <v>2823</v>
      </c>
      <c r="D373" s="439">
        <v>44333</v>
      </c>
      <c r="E373" s="441">
        <v>44337</v>
      </c>
      <c r="F373" s="450">
        <v>8500000</v>
      </c>
      <c r="G373" s="452">
        <v>9100000</v>
      </c>
      <c r="H373" s="488" t="s">
        <v>17</v>
      </c>
      <c r="I373" s="20"/>
      <c r="J373" s="20"/>
      <c r="K373" s="2"/>
      <c r="L373" s="20"/>
      <c r="M373" s="20"/>
      <c r="N373" s="94">
        <f t="shared" si="15"/>
        <v>600000</v>
      </c>
      <c r="O373" s="535" t="s">
        <v>2811</v>
      </c>
    </row>
    <row r="374" spans="1:15" hidden="1" x14ac:dyDescent="0.25">
      <c r="A374" s="427">
        <f t="shared" si="14"/>
        <v>365</v>
      </c>
      <c r="B374" s="76" t="s">
        <v>224</v>
      </c>
      <c r="C374" s="346" t="s">
        <v>2824</v>
      </c>
      <c r="D374" s="439">
        <v>44333</v>
      </c>
      <c r="E374" s="441">
        <v>44335</v>
      </c>
      <c r="F374" s="450">
        <v>8500000</v>
      </c>
      <c r="G374" s="452">
        <v>9150000</v>
      </c>
      <c r="H374" s="488" t="s">
        <v>17</v>
      </c>
      <c r="I374" s="20"/>
      <c r="J374" s="20"/>
      <c r="K374" s="2"/>
      <c r="L374" s="20"/>
      <c r="M374" s="20"/>
      <c r="N374" s="94">
        <f t="shared" si="15"/>
        <v>650000</v>
      </c>
      <c r="O374" s="535" t="s">
        <v>2811</v>
      </c>
    </row>
    <row r="375" spans="1:15" hidden="1" x14ac:dyDescent="0.25">
      <c r="A375" s="427">
        <f t="shared" ref="A375:A438" si="16">A374+1</f>
        <v>366</v>
      </c>
      <c r="B375" s="76" t="s">
        <v>224</v>
      </c>
      <c r="C375" s="346" t="s">
        <v>2825</v>
      </c>
      <c r="D375" s="439">
        <v>44333</v>
      </c>
      <c r="E375" s="441">
        <v>44355</v>
      </c>
      <c r="F375" s="450">
        <v>8500000</v>
      </c>
      <c r="G375" s="452">
        <v>8500000</v>
      </c>
      <c r="H375" s="488" t="s">
        <v>17</v>
      </c>
      <c r="I375" s="20"/>
      <c r="J375" s="20"/>
      <c r="K375" s="2"/>
      <c r="L375" s="20"/>
      <c r="M375" s="20"/>
      <c r="N375" s="101">
        <f t="shared" si="15"/>
        <v>0</v>
      </c>
      <c r="O375" s="546" t="s">
        <v>2890</v>
      </c>
    </row>
    <row r="376" spans="1:15" hidden="1" x14ac:dyDescent="0.25">
      <c r="A376" s="427">
        <f t="shared" si="16"/>
        <v>367</v>
      </c>
      <c r="B376" s="76" t="s">
        <v>224</v>
      </c>
      <c r="C376" s="346" t="s">
        <v>2826</v>
      </c>
      <c r="D376" s="439">
        <v>44333</v>
      </c>
      <c r="E376" s="441">
        <v>44372</v>
      </c>
      <c r="F376" s="450">
        <v>8500000</v>
      </c>
      <c r="G376" s="452">
        <v>9000000</v>
      </c>
      <c r="H376" s="396" t="s">
        <v>17</v>
      </c>
      <c r="I376" s="20"/>
      <c r="J376" s="20"/>
      <c r="K376" s="2"/>
      <c r="L376" s="20"/>
      <c r="M376" s="20"/>
      <c r="N376" s="94">
        <f t="shared" si="15"/>
        <v>500000</v>
      </c>
      <c r="O376" s="551" t="s">
        <v>2975</v>
      </c>
    </row>
    <row r="377" spans="1:15" hidden="1" x14ac:dyDescent="0.25">
      <c r="A377" s="427">
        <f t="shared" si="16"/>
        <v>368</v>
      </c>
      <c r="B377" s="76" t="s">
        <v>224</v>
      </c>
      <c r="C377" s="346" t="s">
        <v>2827</v>
      </c>
      <c r="D377" s="439">
        <v>44333</v>
      </c>
      <c r="E377" s="441">
        <v>44351</v>
      </c>
      <c r="F377" s="450">
        <v>8500000</v>
      </c>
      <c r="G377" s="452">
        <v>9500000</v>
      </c>
      <c r="H377" s="396" t="s">
        <v>17</v>
      </c>
      <c r="I377" s="20"/>
      <c r="J377" s="85"/>
      <c r="K377" s="2"/>
      <c r="L377" s="20"/>
      <c r="M377" s="20"/>
      <c r="N377" s="94">
        <f t="shared" si="15"/>
        <v>1000000</v>
      </c>
      <c r="O377" s="540" t="s">
        <v>2888</v>
      </c>
    </row>
    <row r="378" spans="1:15" hidden="1" x14ac:dyDescent="0.25">
      <c r="A378" s="427">
        <f t="shared" si="16"/>
        <v>369</v>
      </c>
      <c r="B378" s="76" t="s">
        <v>224</v>
      </c>
      <c r="C378" s="346" t="s">
        <v>2828</v>
      </c>
      <c r="D378" s="439">
        <v>44333</v>
      </c>
      <c r="E378" s="441">
        <v>44350</v>
      </c>
      <c r="F378" s="450">
        <v>8500000</v>
      </c>
      <c r="G378" s="452">
        <v>9475000</v>
      </c>
      <c r="H378" s="396" t="s">
        <v>17</v>
      </c>
      <c r="I378" s="20"/>
      <c r="J378" s="20"/>
      <c r="K378" s="2"/>
      <c r="L378" s="20"/>
      <c r="M378" s="20"/>
      <c r="N378" s="94">
        <f t="shared" si="15"/>
        <v>975000</v>
      </c>
      <c r="O378" s="540" t="s">
        <v>2888</v>
      </c>
    </row>
    <row r="379" spans="1:15" hidden="1" x14ac:dyDescent="0.25">
      <c r="A379" s="427">
        <f t="shared" si="16"/>
        <v>370</v>
      </c>
      <c r="B379" s="434" t="s">
        <v>435</v>
      </c>
      <c r="C379" s="398" t="s">
        <v>2820</v>
      </c>
      <c r="D379" s="441">
        <v>44333</v>
      </c>
      <c r="E379" s="441">
        <v>44335</v>
      </c>
      <c r="F379" s="455">
        <v>15750000</v>
      </c>
      <c r="G379" s="454">
        <v>16500000</v>
      </c>
      <c r="H379" s="488" t="s">
        <v>17</v>
      </c>
      <c r="I379" s="94"/>
      <c r="J379" s="94"/>
      <c r="K379" s="3"/>
      <c r="L379" s="94"/>
      <c r="M379" s="94"/>
      <c r="N379" s="94">
        <f t="shared" si="15"/>
        <v>750000</v>
      </c>
      <c r="O379" s="535" t="s">
        <v>2811</v>
      </c>
    </row>
    <row r="380" spans="1:15" hidden="1" x14ac:dyDescent="0.25">
      <c r="A380" s="427">
        <f t="shared" si="16"/>
        <v>371</v>
      </c>
      <c r="B380" s="76" t="s">
        <v>87</v>
      </c>
      <c r="C380" s="346" t="s">
        <v>2830</v>
      </c>
      <c r="D380" s="439">
        <v>44335</v>
      </c>
      <c r="E380" s="441">
        <v>44337</v>
      </c>
      <c r="F380" s="450">
        <v>13850000</v>
      </c>
      <c r="G380" s="452">
        <v>14100000</v>
      </c>
      <c r="H380" s="488" t="s">
        <v>17</v>
      </c>
      <c r="I380" s="20"/>
      <c r="J380" s="20"/>
      <c r="K380" s="2"/>
      <c r="L380" s="20"/>
      <c r="M380" s="20"/>
      <c r="N380" s="94">
        <f t="shared" si="15"/>
        <v>250000</v>
      </c>
      <c r="O380" s="535" t="s">
        <v>2811</v>
      </c>
    </row>
    <row r="381" spans="1:15" hidden="1" x14ac:dyDescent="0.25">
      <c r="A381" s="427">
        <f t="shared" si="16"/>
        <v>372</v>
      </c>
      <c r="B381" s="76" t="s">
        <v>87</v>
      </c>
      <c r="C381" s="346" t="s">
        <v>2870</v>
      </c>
      <c r="D381" s="439">
        <v>44335</v>
      </c>
      <c r="E381" s="441">
        <v>44344</v>
      </c>
      <c r="F381" s="450">
        <v>11650000</v>
      </c>
      <c r="G381" s="452">
        <v>11900000</v>
      </c>
      <c r="H381" s="396" t="s">
        <v>17</v>
      </c>
      <c r="I381" s="20"/>
      <c r="J381" s="20"/>
      <c r="K381" s="2"/>
      <c r="L381" s="20"/>
      <c r="M381" s="20"/>
      <c r="N381" s="94">
        <f t="shared" si="15"/>
        <v>250000</v>
      </c>
      <c r="O381" s="538" t="s">
        <v>2831</v>
      </c>
    </row>
    <row r="382" spans="1:15" hidden="1" x14ac:dyDescent="0.25">
      <c r="A382" s="427">
        <f t="shared" si="16"/>
        <v>373</v>
      </c>
      <c r="B382" s="434" t="s">
        <v>87</v>
      </c>
      <c r="C382" s="398" t="s">
        <v>2829</v>
      </c>
      <c r="D382" s="441">
        <v>44335</v>
      </c>
      <c r="E382" s="441">
        <v>44348</v>
      </c>
      <c r="F382" s="455">
        <v>12750000</v>
      </c>
      <c r="G382" s="541">
        <v>12750000</v>
      </c>
      <c r="H382" s="396" t="s">
        <v>17</v>
      </c>
      <c r="I382" s="94"/>
      <c r="J382" s="94"/>
      <c r="K382" s="3"/>
      <c r="L382" s="94"/>
      <c r="M382" s="94"/>
      <c r="N382" s="94">
        <f t="shared" si="15"/>
        <v>0</v>
      </c>
      <c r="O382" s="540" t="s">
        <v>2888</v>
      </c>
    </row>
    <row r="383" spans="1:15" hidden="1" x14ac:dyDescent="0.25">
      <c r="A383" s="146">
        <f t="shared" si="16"/>
        <v>374</v>
      </c>
      <c r="B383" s="76" t="s">
        <v>2867</v>
      </c>
      <c r="C383" s="346" t="s">
        <v>2868</v>
      </c>
      <c r="D383" s="439">
        <v>44342</v>
      </c>
      <c r="E383" s="441">
        <v>44344</v>
      </c>
      <c r="F383" s="450">
        <v>10800000</v>
      </c>
      <c r="G383" s="452">
        <v>11750000</v>
      </c>
      <c r="H383" s="396" t="s">
        <v>17</v>
      </c>
      <c r="I383" s="20"/>
      <c r="J383" s="20"/>
      <c r="K383" s="2"/>
      <c r="L383" s="20"/>
      <c r="M383" s="20"/>
      <c r="N383" s="94">
        <f t="shared" si="15"/>
        <v>950000</v>
      </c>
      <c r="O383" s="538" t="s">
        <v>2831</v>
      </c>
    </row>
    <row r="384" spans="1:15" hidden="1" x14ac:dyDescent="0.25">
      <c r="A384" s="146">
        <f t="shared" si="16"/>
        <v>375</v>
      </c>
      <c r="B384" s="76" t="s">
        <v>2867</v>
      </c>
      <c r="C384" s="346" t="s">
        <v>2869</v>
      </c>
      <c r="D384" s="439">
        <v>44342</v>
      </c>
      <c r="E384" s="441">
        <v>44349</v>
      </c>
      <c r="F384" s="450">
        <v>10800000</v>
      </c>
      <c r="G384" s="452">
        <v>11650000</v>
      </c>
      <c r="H384" s="396" t="s">
        <v>17</v>
      </c>
      <c r="I384" s="20"/>
      <c r="J384" s="20"/>
      <c r="K384" s="2"/>
      <c r="L384" s="20"/>
      <c r="M384" s="20"/>
      <c r="N384" s="101">
        <f t="shared" si="15"/>
        <v>850000</v>
      </c>
      <c r="O384" s="540" t="s">
        <v>2888</v>
      </c>
    </row>
    <row r="385" spans="1:15" hidden="1" x14ac:dyDescent="0.25">
      <c r="A385" s="146">
        <f t="shared" si="16"/>
        <v>376</v>
      </c>
      <c r="B385" s="434" t="s">
        <v>2867</v>
      </c>
      <c r="C385" s="398" t="s">
        <v>3092</v>
      </c>
      <c r="D385" s="441">
        <v>44342</v>
      </c>
      <c r="E385" s="441">
        <v>44400</v>
      </c>
      <c r="F385" s="455">
        <v>10800000</v>
      </c>
      <c r="G385" s="454">
        <v>11000000</v>
      </c>
      <c r="H385" s="396" t="s">
        <v>17</v>
      </c>
      <c r="I385" s="94"/>
      <c r="J385" s="94"/>
      <c r="K385" s="3"/>
      <c r="L385" s="94"/>
      <c r="M385" s="94"/>
      <c r="N385" s="101">
        <f t="shared" si="15"/>
        <v>200000</v>
      </c>
      <c r="O385" s="564" t="s">
        <v>3086</v>
      </c>
    </row>
    <row r="386" spans="1:15" hidden="1" x14ac:dyDescent="0.25">
      <c r="A386" s="427">
        <f t="shared" si="16"/>
        <v>377</v>
      </c>
      <c r="B386" s="434" t="s">
        <v>87</v>
      </c>
      <c r="C386" s="398" t="s">
        <v>2047</v>
      </c>
      <c r="D386" s="441">
        <v>44348</v>
      </c>
      <c r="E386" s="441">
        <v>44352</v>
      </c>
      <c r="F386" s="455">
        <v>10000000</v>
      </c>
      <c r="G386" s="454">
        <v>11150000</v>
      </c>
      <c r="H386" s="396" t="s">
        <v>17</v>
      </c>
      <c r="I386" s="94"/>
      <c r="J386" s="94"/>
      <c r="K386" s="3"/>
      <c r="L386" s="94"/>
      <c r="M386" s="94"/>
      <c r="N386" s="94">
        <f t="shared" si="15"/>
        <v>1150000</v>
      </c>
      <c r="O386" s="540" t="s">
        <v>2888</v>
      </c>
    </row>
    <row r="387" spans="1:15" hidden="1" x14ac:dyDescent="0.25">
      <c r="A387" s="427">
        <f t="shared" si="16"/>
        <v>378</v>
      </c>
      <c r="B387" s="76" t="s">
        <v>724</v>
      </c>
      <c r="C387" s="346" t="s">
        <v>2925</v>
      </c>
      <c r="D387" s="439">
        <v>44355</v>
      </c>
      <c r="E387" s="441">
        <v>44357</v>
      </c>
      <c r="F387" s="450">
        <v>6500000</v>
      </c>
      <c r="G387" s="452">
        <v>7500000</v>
      </c>
      <c r="H387" s="547" t="s">
        <v>304</v>
      </c>
      <c r="I387" s="20">
        <f>5250000+1000000+200000+200000+200000</f>
        <v>6850000</v>
      </c>
      <c r="J387" s="85">
        <f>G387-I387</f>
        <v>650000</v>
      </c>
      <c r="K387" s="2" t="s">
        <v>2200</v>
      </c>
      <c r="L387" s="20"/>
      <c r="M387" s="20"/>
      <c r="N387" s="20">
        <f t="shared" si="15"/>
        <v>1000000</v>
      </c>
      <c r="O387" s="546" t="s">
        <v>2890</v>
      </c>
    </row>
    <row r="388" spans="1:15" hidden="1" x14ac:dyDescent="0.25">
      <c r="A388" s="427">
        <f t="shared" si="16"/>
        <v>379</v>
      </c>
      <c r="B388" s="76" t="s">
        <v>309</v>
      </c>
      <c r="C388" s="346" t="s">
        <v>2926</v>
      </c>
      <c r="D388" s="439">
        <v>44355</v>
      </c>
      <c r="E388" s="441">
        <v>44364</v>
      </c>
      <c r="F388" s="450">
        <v>13600000</v>
      </c>
      <c r="G388" s="452">
        <v>16000000</v>
      </c>
      <c r="H388" s="396" t="s">
        <v>17</v>
      </c>
      <c r="I388" s="20"/>
      <c r="J388" s="20"/>
      <c r="K388" s="2"/>
      <c r="L388" s="20"/>
      <c r="M388" s="20"/>
      <c r="N388" s="20">
        <f t="shared" si="15"/>
        <v>2400000</v>
      </c>
      <c r="O388" s="549" t="s">
        <v>2952</v>
      </c>
    </row>
    <row r="389" spans="1:15" hidden="1" x14ac:dyDescent="0.25">
      <c r="A389" s="427">
        <f t="shared" si="16"/>
        <v>380</v>
      </c>
      <c r="B389" s="76" t="s">
        <v>309</v>
      </c>
      <c r="C389" s="346" t="s">
        <v>2927</v>
      </c>
      <c r="D389" s="439">
        <v>44355</v>
      </c>
      <c r="E389" s="441">
        <v>44362</v>
      </c>
      <c r="F389" s="450">
        <v>13600000</v>
      </c>
      <c r="G389" s="452">
        <v>14900000</v>
      </c>
      <c r="H389" s="396" t="s">
        <v>17</v>
      </c>
      <c r="I389" s="20"/>
      <c r="J389" s="20"/>
      <c r="K389" s="2"/>
      <c r="L389" s="20"/>
      <c r="M389" s="20"/>
      <c r="N389" s="20">
        <f t="shared" si="15"/>
        <v>1300000</v>
      </c>
      <c r="O389" s="549" t="s">
        <v>2952</v>
      </c>
    </row>
    <row r="390" spans="1:15" hidden="1" x14ac:dyDescent="0.25">
      <c r="A390" s="427">
        <f t="shared" si="16"/>
        <v>381</v>
      </c>
      <c r="B390" s="76" t="s">
        <v>309</v>
      </c>
      <c r="C390" s="346" t="s">
        <v>2928</v>
      </c>
      <c r="D390" s="439">
        <v>44355</v>
      </c>
      <c r="E390" s="441">
        <v>44370</v>
      </c>
      <c r="F390" s="450">
        <v>13600000</v>
      </c>
      <c r="G390" s="452">
        <v>14500000</v>
      </c>
      <c r="H390" s="396" t="s">
        <v>17</v>
      </c>
      <c r="I390" s="20"/>
      <c r="J390" s="20"/>
      <c r="K390" s="2"/>
      <c r="L390" s="20"/>
      <c r="M390" s="20"/>
      <c r="N390" s="152">
        <f t="shared" si="15"/>
        <v>900000</v>
      </c>
      <c r="O390" s="551" t="s">
        <v>2975</v>
      </c>
    </row>
    <row r="391" spans="1:15" hidden="1" x14ac:dyDescent="0.25">
      <c r="A391" s="427">
        <f t="shared" si="16"/>
        <v>382</v>
      </c>
      <c r="B391" s="76" t="s">
        <v>309</v>
      </c>
      <c r="C391" s="346" t="s">
        <v>2929</v>
      </c>
      <c r="D391" s="439">
        <v>44355</v>
      </c>
      <c r="E391" s="441">
        <v>44378</v>
      </c>
      <c r="F391" s="450">
        <v>17100000</v>
      </c>
      <c r="G391" s="452">
        <v>18375000</v>
      </c>
      <c r="H391" s="488" t="s">
        <v>17</v>
      </c>
      <c r="I391" s="20"/>
      <c r="J391" s="20"/>
      <c r="K391" s="2"/>
      <c r="L391" s="20"/>
      <c r="M391" s="20"/>
      <c r="N391" s="20">
        <f t="shared" si="15"/>
        <v>1275000</v>
      </c>
      <c r="O391" s="554" t="s">
        <v>3008</v>
      </c>
    </row>
    <row r="392" spans="1:15" hidden="1" x14ac:dyDescent="0.25">
      <c r="A392" s="427">
        <f t="shared" si="16"/>
        <v>383</v>
      </c>
      <c r="B392" s="76" t="s">
        <v>309</v>
      </c>
      <c r="C392" s="346" t="s">
        <v>2930</v>
      </c>
      <c r="D392" s="439">
        <v>44355</v>
      </c>
      <c r="E392" s="441">
        <v>44361</v>
      </c>
      <c r="F392" s="450">
        <v>17100000</v>
      </c>
      <c r="G392" s="452">
        <v>18400000</v>
      </c>
      <c r="H392" s="396" t="s">
        <v>17</v>
      </c>
      <c r="I392" s="20"/>
      <c r="J392" s="20"/>
      <c r="K392" s="2"/>
      <c r="L392" s="20"/>
      <c r="M392" s="20"/>
      <c r="N392" s="20">
        <f t="shared" si="15"/>
        <v>1300000</v>
      </c>
      <c r="O392" s="549" t="s">
        <v>2952</v>
      </c>
    </row>
    <row r="393" spans="1:15" hidden="1" x14ac:dyDescent="0.25">
      <c r="A393" s="427">
        <f t="shared" si="16"/>
        <v>384</v>
      </c>
      <c r="B393" s="434" t="s">
        <v>87</v>
      </c>
      <c r="C393" s="398" t="s">
        <v>2931</v>
      </c>
      <c r="D393" s="441">
        <v>44355</v>
      </c>
      <c r="E393" s="441">
        <v>44356</v>
      </c>
      <c r="F393" s="455">
        <v>14100000</v>
      </c>
      <c r="G393" s="454">
        <v>14950000</v>
      </c>
      <c r="H393" s="396" t="s">
        <v>17</v>
      </c>
      <c r="I393" s="94"/>
      <c r="J393" s="94"/>
      <c r="K393" s="3"/>
      <c r="L393" s="94"/>
      <c r="M393" s="94"/>
      <c r="N393" s="94">
        <f t="shared" si="15"/>
        <v>850000</v>
      </c>
      <c r="O393" s="546" t="s">
        <v>2890</v>
      </c>
    </row>
    <row r="394" spans="1:15" hidden="1" x14ac:dyDescent="0.25">
      <c r="A394" s="427">
        <f t="shared" si="16"/>
        <v>385</v>
      </c>
      <c r="B394" s="434" t="s">
        <v>87</v>
      </c>
      <c r="C394" s="398" t="s">
        <v>2614</v>
      </c>
      <c r="D394" s="441">
        <v>44361</v>
      </c>
      <c r="E394" s="441">
        <v>44370</v>
      </c>
      <c r="F394" s="455">
        <v>13500000</v>
      </c>
      <c r="G394" s="454">
        <v>15750000</v>
      </c>
      <c r="H394" s="396" t="s">
        <v>17</v>
      </c>
      <c r="I394" s="94"/>
      <c r="J394" s="94"/>
      <c r="K394" s="3"/>
      <c r="L394" s="94"/>
      <c r="M394" s="94"/>
      <c r="N394" s="101">
        <f t="shared" si="15"/>
        <v>2250000</v>
      </c>
      <c r="O394" s="551" t="s">
        <v>2975</v>
      </c>
    </row>
    <row r="395" spans="1:15" hidden="1" x14ac:dyDescent="0.25">
      <c r="A395" s="427">
        <f t="shared" si="16"/>
        <v>386</v>
      </c>
      <c r="B395" s="76" t="s">
        <v>435</v>
      </c>
      <c r="C395" s="346" t="s">
        <v>3009</v>
      </c>
      <c r="D395" s="439">
        <v>44375</v>
      </c>
      <c r="E395" s="441">
        <v>44378</v>
      </c>
      <c r="F395" s="450">
        <v>14100000</v>
      </c>
      <c r="G395" s="452">
        <v>16250000</v>
      </c>
      <c r="H395" s="488" t="s">
        <v>17</v>
      </c>
      <c r="I395" s="20"/>
      <c r="J395" s="20"/>
      <c r="K395" s="2"/>
      <c r="L395" s="20"/>
      <c r="M395" s="20"/>
      <c r="N395" s="101">
        <f t="shared" si="15"/>
        <v>2150000</v>
      </c>
      <c r="O395" s="554" t="s">
        <v>3008</v>
      </c>
    </row>
    <row r="396" spans="1:15" hidden="1" x14ac:dyDescent="0.25">
      <c r="A396" s="427">
        <f t="shared" si="16"/>
        <v>387</v>
      </c>
      <c r="B396" s="76" t="s">
        <v>435</v>
      </c>
      <c r="C396" s="346" t="s">
        <v>3010</v>
      </c>
      <c r="D396" s="439">
        <v>44375</v>
      </c>
      <c r="E396" s="441">
        <v>44383</v>
      </c>
      <c r="F396" s="450">
        <v>14350000</v>
      </c>
      <c r="G396" s="452">
        <v>15750000</v>
      </c>
      <c r="H396" s="488" t="s">
        <v>17</v>
      </c>
      <c r="I396" s="20"/>
      <c r="J396" s="20"/>
      <c r="K396" s="2"/>
      <c r="L396" s="20"/>
      <c r="M396" s="20"/>
      <c r="N396" s="101">
        <f t="shared" si="15"/>
        <v>1400000</v>
      </c>
      <c r="O396" s="560" t="s">
        <v>3032</v>
      </c>
    </row>
    <row r="397" spans="1:15" hidden="1" x14ac:dyDescent="0.25">
      <c r="A397" s="427">
        <f t="shared" si="16"/>
        <v>388</v>
      </c>
      <c r="B397" s="76" t="s">
        <v>435</v>
      </c>
      <c r="C397" s="346" t="s">
        <v>3011</v>
      </c>
      <c r="D397" s="439">
        <v>44375</v>
      </c>
      <c r="E397" s="441">
        <v>44377</v>
      </c>
      <c r="F397" s="450">
        <v>14100000</v>
      </c>
      <c r="G397" s="452">
        <v>16000000</v>
      </c>
      <c r="H397" s="488" t="s">
        <v>17</v>
      </c>
      <c r="I397" s="20"/>
      <c r="J397" s="20"/>
      <c r="K397" s="2"/>
      <c r="L397" s="20"/>
      <c r="M397" s="20"/>
      <c r="N397" s="101">
        <f t="shared" si="15"/>
        <v>1900000</v>
      </c>
      <c r="O397" s="554" t="s">
        <v>3008</v>
      </c>
    </row>
    <row r="398" spans="1:15" hidden="1" x14ac:dyDescent="0.25">
      <c r="A398" s="427">
        <f t="shared" si="16"/>
        <v>389</v>
      </c>
      <c r="B398" s="76" t="s">
        <v>435</v>
      </c>
      <c r="C398" s="346" t="s">
        <v>3030</v>
      </c>
      <c r="D398" s="439">
        <v>44375</v>
      </c>
      <c r="E398" s="441">
        <v>44380</v>
      </c>
      <c r="F398" s="450">
        <v>14100000</v>
      </c>
      <c r="G398" s="452">
        <v>16000000</v>
      </c>
      <c r="H398" s="488" t="s">
        <v>17</v>
      </c>
      <c r="I398" s="107"/>
      <c r="J398" s="242"/>
      <c r="K398" s="2"/>
      <c r="L398" s="20"/>
      <c r="M398" s="20"/>
      <c r="N398" s="101">
        <f t="shared" si="15"/>
        <v>1900000</v>
      </c>
      <c r="O398" s="554" t="s">
        <v>3008</v>
      </c>
    </row>
    <row r="399" spans="1:15" hidden="1" x14ac:dyDescent="0.25">
      <c r="A399" s="427">
        <f t="shared" si="16"/>
        <v>390</v>
      </c>
      <c r="B399" s="76" t="s">
        <v>87</v>
      </c>
      <c r="C399" s="346" t="s">
        <v>3012</v>
      </c>
      <c r="D399" s="439">
        <v>44375</v>
      </c>
      <c r="E399" s="441">
        <v>44393</v>
      </c>
      <c r="F399" s="450">
        <v>12100000</v>
      </c>
      <c r="G399" s="452">
        <v>12750000</v>
      </c>
      <c r="H399" s="396" t="s">
        <v>17</v>
      </c>
      <c r="I399" s="20"/>
      <c r="J399" s="20"/>
      <c r="K399" s="2"/>
      <c r="L399" s="20"/>
      <c r="M399" s="20"/>
      <c r="N399" s="101">
        <f t="shared" si="15"/>
        <v>650000</v>
      </c>
      <c r="O399" s="562" t="s">
        <v>3041</v>
      </c>
    </row>
    <row r="400" spans="1:15" hidden="1" x14ac:dyDescent="0.25">
      <c r="A400" s="427">
        <f t="shared" si="16"/>
        <v>391</v>
      </c>
      <c r="B400" s="76" t="s">
        <v>87</v>
      </c>
      <c r="C400" s="346" t="s">
        <v>3031</v>
      </c>
      <c r="D400" s="439">
        <v>44375</v>
      </c>
      <c r="E400" s="441">
        <v>44401</v>
      </c>
      <c r="F400" s="450">
        <v>12100000</v>
      </c>
      <c r="G400" s="452">
        <v>13000000</v>
      </c>
      <c r="H400" s="396" t="s">
        <v>17</v>
      </c>
      <c r="I400" s="20"/>
      <c r="J400" s="20"/>
      <c r="K400" s="2"/>
      <c r="L400" s="20"/>
      <c r="M400" s="20"/>
      <c r="N400" s="101">
        <f t="shared" si="15"/>
        <v>900000</v>
      </c>
      <c r="O400" s="564" t="s">
        <v>3086</v>
      </c>
    </row>
    <row r="401" spans="1:15" hidden="1" x14ac:dyDescent="0.25">
      <c r="A401" s="427">
        <f t="shared" si="16"/>
        <v>392</v>
      </c>
      <c r="B401" s="434" t="s">
        <v>87</v>
      </c>
      <c r="C401" s="398" t="s">
        <v>3013</v>
      </c>
      <c r="D401" s="441">
        <v>44375</v>
      </c>
      <c r="E401" s="441">
        <v>44414</v>
      </c>
      <c r="F401" s="455">
        <v>11350000</v>
      </c>
      <c r="G401" s="454">
        <v>12350000</v>
      </c>
      <c r="H401" s="573" t="s">
        <v>17</v>
      </c>
      <c r="I401" s="94"/>
      <c r="J401" s="94"/>
      <c r="K401" s="3"/>
      <c r="L401" s="94"/>
      <c r="M401" s="94"/>
      <c r="N401" s="101">
        <f t="shared" si="15"/>
        <v>1000000</v>
      </c>
      <c r="O401" s="574" t="s">
        <v>3105</v>
      </c>
    </row>
    <row r="402" spans="1:15" hidden="1" x14ac:dyDescent="0.25">
      <c r="A402" s="146">
        <f t="shared" si="16"/>
        <v>393</v>
      </c>
      <c r="B402" s="76" t="s">
        <v>435</v>
      </c>
      <c r="C402" s="346" t="s">
        <v>3034</v>
      </c>
      <c r="D402" s="439">
        <v>44382</v>
      </c>
      <c r="E402" s="441">
        <v>44383</v>
      </c>
      <c r="F402" s="450">
        <v>14850000</v>
      </c>
      <c r="G402" s="452">
        <v>16250000</v>
      </c>
      <c r="H402" s="488" t="s">
        <v>17</v>
      </c>
      <c r="I402" s="20"/>
      <c r="J402" s="20"/>
      <c r="K402" s="2"/>
      <c r="L402" s="20"/>
      <c r="M402" s="20"/>
      <c r="N402" s="101">
        <f t="shared" si="15"/>
        <v>1400000</v>
      </c>
      <c r="O402" s="560" t="s">
        <v>3032</v>
      </c>
    </row>
    <row r="403" spans="1:15" hidden="1" x14ac:dyDescent="0.25">
      <c r="A403" s="146">
        <f t="shared" si="16"/>
        <v>394</v>
      </c>
      <c r="B403" s="76" t="s">
        <v>309</v>
      </c>
      <c r="C403" s="346" t="s">
        <v>3036</v>
      </c>
      <c r="D403" s="439">
        <v>44382</v>
      </c>
      <c r="E403" s="441">
        <v>44385</v>
      </c>
      <c r="F403" s="450">
        <v>13850000</v>
      </c>
      <c r="G403" s="452">
        <v>14500000</v>
      </c>
      <c r="H403" s="488" t="s">
        <v>17</v>
      </c>
      <c r="I403" s="20"/>
      <c r="J403" s="20"/>
      <c r="K403" s="2"/>
      <c r="L403" s="20"/>
      <c r="M403" s="20"/>
      <c r="N403" s="101">
        <f t="shared" si="15"/>
        <v>650000</v>
      </c>
      <c r="O403" s="560" t="s">
        <v>3032</v>
      </c>
    </row>
    <row r="404" spans="1:15" hidden="1" x14ac:dyDescent="0.25">
      <c r="A404" s="146">
        <f t="shared" si="16"/>
        <v>395</v>
      </c>
      <c r="B404" s="76" t="s">
        <v>309</v>
      </c>
      <c r="C404" s="346" t="s">
        <v>3038</v>
      </c>
      <c r="D404" s="439">
        <v>44382</v>
      </c>
      <c r="E404" s="441">
        <v>44386</v>
      </c>
      <c r="F404" s="450">
        <v>13850000</v>
      </c>
      <c r="G404" s="452">
        <v>15350000</v>
      </c>
      <c r="H404" s="488" t="s">
        <v>17</v>
      </c>
      <c r="I404" s="20"/>
      <c r="J404" s="20"/>
      <c r="K404" s="2"/>
      <c r="L404" s="20"/>
      <c r="M404" s="20"/>
      <c r="N404" s="101">
        <f t="shared" si="15"/>
        <v>1500000</v>
      </c>
      <c r="O404" s="560" t="s">
        <v>3032</v>
      </c>
    </row>
    <row r="405" spans="1:15" hidden="1" x14ac:dyDescent="0.25">
      <c r="A405" s="146">
        <f t="shared" si="16"/>
        <v>396</v>
      </c>
      <c r="B405" s="76" t="s">
        <v>87</v>
      </c>
      <c r="C405" s="346" t="s">
        <v>3039</v>
      </c>
      <c r="D405" s="439">
        <v>44382</v>
      </c>
      <c r="E405" s="441">
        <v>44390</v>
      </c>
      <c r="F405" s="450">
        <v>13100000</v>
      </c>
      <c r="G405" s="452">
        <v>14100000</v>
      </c>
      <c r="H405" s="396" t="s">
        <v>17</v>
      </c>
      <c r="I405" s="20"/>
      <c r="J405" s="20"/>
      <c r="K405" s="2"/>
      <c r="L405" s="20"/>
      <c r="M405" s="20"/>
      <c r="N405" s="101">
        <f t="shared" si="15"/>
        <v>1000000</v>
      </c>
      <c r="O405" s="562" t="s">
        <v>3041</v>
      </c>
    </row>
    <row r="406" spans="1:15" hidden="1" x14ac:dyDescent="0.25">
      <c r="A406" s="146">
        <f t="shared" si="16"/>
        <v>397</v>
      </c>
      <c r="B406" s="76" t="s">
        <v>87</v>
      </c>
      <c r="C406" s="346" t="s">
        <v>3035</v>
      </c>
      <c r="D406" s="439">
        <v>44382</v>
      </c>
      <c r="E406" s="441">
        <v>44390</v>
      </c>
      <c r="F406" s="450">
        <v>12100000</v>
      </c>
      <c r="G406" s="452">
        <v>13250000</v>
      </c>
      <c r="H406" s="396" t="s">
        <v>17</v>
      </c>
      <c r="I406" s="20"/>
      <c r="J406" s="20"/>
      <c r="K406" s="2"/>
      <c r="L406" s="20"/>
      <c r="M406" s="20"/>
      <c r="N406" s="101">
        <f t="shared" si="15"/>
        <v>1150000</v>
      </c>
      <c r="O406" s="562" t="s">
        <v>3041</v>
      </c>
    </row>
    <row r="407" spans="1:15" hidden="1" x14ac:dyDescent="0.25">
      <c r="A407" s="427">
        <f t="shared" si="16"/>
        <v>398</v>
      </c>
      <c r="B407" s="434" t="s">
        <v>87</v>
      </c>
      <c r="C407" s="398" t="s">
        <v>3037</v>
      </c>
      <c r="D407" s="441">
        <v>44382</v>
      </c>
      <c r="E407" s="441">
        <v>44386</v>
      </c>
      <c r="F407" s="455">
        <v>11600000</v>
      </c>
      <c r="G407" s="454">
        <v>12250000</v>
      </c>
      <c r="H407" s="488" t="s">
        <v>17</v>
      </c>
      <c r="I407" s="94"/>
      <c r="J407" s="94"/>
      <c r="K407" s="3"/>
      <c r="L407" s="94"/>
      <c r="M407" s="94"/>
      <c r="N407" s="101">
        <f t="shared" si="15"/>
        <v>650000</v>
      </c>
      <c r="O407" s="560" t="s">
        <v>3032</v>
      </c>
    </row>
    <row r="408" spans="1:15" hidden="1" x14ac:dyDescent="0.25">
      <c r="A408" s="427">
        <f t="shared" si="16"/>
        <v>399</v>
      </c>
      <c r="B408" s="434" t="s">
        <v>87</v>
      </c>
      <c r="C408" s="398" t="s">
        <v>2931</v>
      </c>
      <c r="D408" s="441">
        <v>44385</v>
      </c>
      <c r="E408" s="441">
        <v>44386</v>
      </c>
      <c r="F408" s="455">
        <v>14500000</v>
      </c>
      <c r="G408" s="454">
        <v>15750000</v>
      </c>
      <c r="H408" s="396" t="s">
        <v>17</v>
      </c>
      <c r="I408" s="94"/>
      <c r="J408" s="94"/>
      <c r="K408" s="3"/>
      <c r="L408" s="94"/>
      <c r="M408" s="94"/>
      <c r="N408" s="94">
        <f t="shared" si="15"/>
        <v>1250000</v>
      </c>
      <c r="O408" s="560" t="s">
        <v>3032</v>
      </c>
    </row>
    <row r="409" spans="1:15" hidden="1" x14ac:dyDescent="0.25">
      <c r="A409" s="146">
        <f t="shared" si="16"/>
        <v>400</v>
      </c>
      <c r="B409" s="76" t="s">
        <v>87</v>
      </c>
      <c r="C409" s="346" t="s">
        <v>3088</v>
      </c>
      <c r="D409" s="439">
        <v>44396</v>
      </c>
      <c r="E409" s="441">
        <v>44407</v>
      </c>
      <c r="F409" s="450">
        <v>12500000</v>
      </c>
      <c r="G409" s="452">
        <v>13750000</v>
      </c>
      <c r="H409" s="396" t="s">
        <v>17</v>
      </c>
      <c r="I409" s="20"/>
      <c r="J409" s="20"/>
      <c r="K409" s="2"/>
      <c r="L409" s="20"/>
      <c r="M409" s="20"/>
      <c r="N409" s="94">
        <f t="shared" si="15"/>
        <v>1250000</v>
      </c>
      <c r="O409" s="567" t="s">
        <v>3093</v>
      </c>
    </row>
    <row r="410" spans="1:15" hidden="1" x14ac:dyDescent="0.25">
      <c r="A410" s="146">
        <f t="shared" si="16"/>
        <v>401</v>
      </c>
      <c r="B410" s="76" t="s">
        <v>87</v>
      </c>
      <c r="C410" s="346" t="s">
        <v>3089</v>
      </c>
      <c r="D410" s="439">
        <v>44396</v>
      </c>
      <c r="E410" s="441">
        <v>44404</v>
      </c>
      <c r="F410" s="450">
        <v>10750000</v>
      </c>
      <c r="G410" s="452">
        <v>12000000</v>
      </c>
      <c r="H410" s="396" t="s">
        <v>17</v>
      </c>
      <c r="I410" s="20"/>
      <c r="J410" s="20"/>
      <c r="K410" s="2"/>
      <c r="L410" s="20"/>
      <c r="M410" s="20"/>
      <c r="N410" s="101">
        <f t="shared" si="15"/>
        <v>1250000</v>
      </c>
      <c r="O410" s="567" t="s">
        <v>3093</v>
      </c>
    </row>
    <row r="411" spans="1:15" hidden="1" x14ac:dyDescent="0.25">
      <c r="A411" s="146">
        <f t="shared" si="16"/>
        <v>402</v>
      </c>
      <c r="B411" s="76" t="s">
        <v>309</v>
      </c>
      <c r="C411" s="346" t="s">
        <v>3090</v>
      </c>
      <c r="D411" s="439">
        <v>44396</v>
      </c>
      <c r="E411" s="441">
        <v>44400</v>
      </c>
      <c r="F411" s="450">
        <v>14000000</v>
      </c>
      <c r="G411" s="452">
        <v>15250000</v>
      </c>
      <c r="H411" s="396" t="s">
        <v>17</v>
      </c>
      <c r="I411" s="20"/>
      <c r="J411" s="20"/>
      <c r="K411" s="2"/>
      <c r="L411" s="20"/>
      <c r="M411" s="20"/>
      <c r="N411" s="101">
        <f t="shared" si="15"/>
        <v>1250000</v>
      </c>
      <c r="O411" s="564" t="s">
        <v>3086</v>
      </c>
    </row>
    <row r="412" spans="1:15" hidden="1" x14ac:dyDescent="0.25">
      <c r="A412" s="427">
        <f t="shared" si="16"/>
        <v>403</v>
      </c>
      <c r="B412" s="434" t="s">
        <v>192</v>
      </c>
      <c r="C412" s="398" t="s">
        <v>3091</v>
      </c>
      <c r="D412" s="441">
        <v>44396</v>
      </c>
      <c r="E412" s="441">
        <v>44400</v>
      </c>
      <c r="F412" s="455">
        <v>8750000</v>
      </c>
      <c r="G412" s="454">
        <v>9500000</v>
      </c>
      <c r="H412" s="396" t="s">
        <v>17</v>
      </c>
      <c r="I412" s="94"/>
      <c r="J412" s="94"/>
      <c r="K412" s="3"/>
      <c r="L412" s="94"/>
      <c r="M412" s="94"/>
      <c r="N412" s="101">
        <f t="shared" si="15"/>
        <v>750000</v>
      </c>
      <c r="O412" s="564" t="s">
        <v>3086</v>
      </c>
    </row>
    <row r="413" spans="1:15" hidden="1" x14ac:dyDescent="0.25">
      <c r="A413" s="428">
        <f t="shared" si="16"/>
        <v>404</v>
      </c>
      <c r="B413" s="76" t="s">
        <v>87</v>
      </c>
      <c r="C413" s="346" t="s">
        <v>3099</v>
      </c>
      <c r="D413" s="439">
        <v>44408</v>
      </c>
      <c r="E413" s="441">
        <v>44417</v>
      </c>
      <c r="F413" s="452">
        <v>14000000</v>
      </c>
      <c r="G413" s="452">
        <v>15500000</v>
      </c>
      <c r="H413" s="573" t="s">
        <v>17</v>
      </c>
      <c r="I413" s="107"/>
      <c r="J413" s="107"/>
      <c r="K413" s="128"/>
      <c r="L413" s="107"/>
      <c r="M413" s="107"/>
      <c r="N413" s="101">
        <f t="shared" si="15"/>
        <v>1500000</v>
      </c>
      <c r="O413" s="576" t="s">
        <v>3169</v>
      </c>
    </row>
    <row r="414" spans="1:15" hidden="1" x14ac:dyDescent="0.25">
      <c r="A414" s="428">
        <f t="shared" si="16"/>
        <v>405</v>
      </c>
      <c r="B414" s="76" t="s">
        <v>309</v>
      </c>
      <c r="C414" s="346" t="s">
        <v>3098</v>
      </c>
      <c r="D414" s="439">
        <v>44408</v>
      </c>
      <c r="E414" s="441">
        <v>44412</v>
      </c>
      <c r="F414" s="452">
        <v>15000000</v>
      </c>
      <c r="G414" s="452">
        <v>16000000</v>
      </c>
      <c r="H414" s="573" t="s">
        <v>17</v>
      </c>
      <c r="I414" s="107"/>
      <c r="J414" s="107"/>
      <c r="K414" s="128"/>
      <c r="L414" s="107"/>
      <c r="M414" s="107"/>
      <c r="N414" s="101">
        <f t="shared" si="15"/>
        <v>1000000</v>
      </c>
      <c r="O414" s="574" t="s">
        <v>3100</v>
      </c>
    </row>
    <row r="415" spans="1:15" hidden="1" x14ac:dyDescent="0.25">
      <c r="A415" s="426">
        <f t="shared" si="16"/>
        <v>406</v>
      </c>
      <c r="B415" s="434" t="s">
        <v>435</v>
      </c>
      <c r="C415" s="398" t="s">
        <v>3097</v>
      </c>
      <c r="D415" s="441">
        <v>44408</v>
      </c>
      <c r="E415" s="441">
        <v>44411</v>
      </c>
      <c r="F415" s="454">
        <v>15500000</v>
      </c>
      <c r="G415" s="454">
        <v>16750000</v>
      </c>
      <c r="H415" s="573" t="s">
        <v>17</v>
      </c>
      <c r="I415" s="137"/>
      <c r="J415" s="137"/>
      <c r="K415" s="257"/>
      <c r="L415" s="137"/>
      <c r="M415" s="137"/>
      <c r="N415" s="101">
        <f t="shared" si="15"/>
        <v>1250000</v>
      </c>
      <c r="O415" s="574" t="s">
        <v>3100</v>
      </c>
    </row>
    <row r="416" spans="1:15" hidden="1" x14ac:dyDescent="0.25">
      <c r="A416" s="428">
        <f t="shared" si="16"/>
        <v>407</v>
      </c>
      <c r="B416" s="434" t="s">
        <v>435</v>
      </c>
      <c r="C416" s="346" t="s">
        <v>3101</v>
      </c>
      <c r="D416" s="439">
        <v>44410</v>
      </c>
      <c r="E416" s="441">
        <v>44441</v>
      </c>
      <c r="F416" s="454">
        <v>15500000</v>
      </c>
      <c r="G416" s="454">
        <v>16250000</v>
      </c>
      <c r="H416" s="396" t="s">
        <v>17</v>
      </c>
      <c r="I416" s="107"/>
      <c r="J416" s="107"/>
      <c r="K416" s="128"/>
      <c r="L416" s="107"/>
      <c r="M416" s="107"/>
      <c r="N416" s="101">
        <f t="shared" si="15"/>
        <v>750000</v>
      </c>
      <c r="O416" s="582" t="s">
        <v>3225</v>
      </c>
    </row>
    <row r="417" spans="1:15" hidden="1" x14ac:dyDescent="0.25">
      <c r="A417" s="428">
        <f t="shared" si="16"/>
        <v>408</v>
      </c>
      <c r="B417" s="434" t="s">
        <v>435</v>
      </c>
      <c r="C417" s="346" t="s">
        <v>3102</v>
      </c>
      <c r="D417" s="439">
        <v>44410</v>
      </c>
      <c r="E417" s="441">
        <v>44411</v>
      </c>
      <c r="F417" s="454">
        <v>15500000</v>
      </c>
      <c r="G417" s="454">
        <v>16750000</v>
      </c>
      <c r="H417" s="573" t="s">
        <v>17</v>
      </c>
      <c r="I417" s="107"/>
      <c r="J417" s="107"/>
      <c r="K417" s="128"/>
      <c r="L417" s="107"/>
      <c r="M417" s="107"/>
      <c r="N417" s="101">
        <f t="shared" si="15"/>
        <v>1250000</v>
      </c>
      <c r="O417" s="574" t="s">
        <v>3100</v>
      </c>
    </row>
    <row r="418" spans="1:15" hidden="1" x14ac:dyDescent="0.25">
      <c r="A418" s="428">
        <f t="shared" si="16"/>
        <v>409</v>
      </c>
      <c r="B418" s="434" t="s">
        <v>435</v>
      </c>
      <c r="C418" s="346" t="s">
        <v>3103</v>
      </c>
      <c r="D418" s="439">
        <v>44410</v>
      </c>
      <c r="E418" s="441">
        <v>44415</v>
      </c>
      <c r="F418" s="454">
        <v>15500000</v>
      </c>
      <c r="G418" s="454">
        <v>16350000</v>
      </c>
      <c r="H418" s="573" t="s">
        <v>17</v>
      </c>
      <c r="I418" s="107"/>
      <c r="J418" s="107"/>
      <c r="K418" s="128"/>
      <c r="L418" s="107"/>
      <c r="M418" s="107"/>
      <c r="N418" s="101">
        <f t="shared" si="15"/>
        <v>850000</v>
      </c>
      <c r="O418" s="574" t="s">
        <v>3105</v>
      </c>
    </row>
    <row r="419" spans="1:15" hidden="1" x14ac:dyDescent="0.25">
      <c r="A419" s="428">
        <f t="shared" si="16"/>
        <v>410</v>
      </c>
      <c r="B419" s="434" t="s">
        <v>435</v>
      </c>
      <c r="C419" s="346" t="s">
        <v>3178</v>
      </c>
      <c r="D419" s="439">
        <v>44410</v>
      </c>
      <c r="E419" s="441">
        <v>44411</v>
      </c>
      <c r="F419" s="454">
        <v>15500000</v>
      </c>
      <c r="G419" s="454">
        <v>16500000</v>
      </c>
      <c r="H419" s="573" t="s">
        <v>17</v>
      </c>
      <c r="I419" s="107"/>
      <c r="J419" s="107"/>
      <c r="K419" s="128"/>
      <c r="L419" s="107"/>
      <c r="M419" s="107"/>
      <c r="N419" s="101">
        <f t="shared" si="15"/>
        <v>1000000</v>
      </c>
      <c r="O419" s="574" t="s">
        <v>3100</v>
      </c>
    </row>
    <row r="420" spans="1:15" hidden="1" x14ac:dyDescent="0.25">
      <c r="A420" s="426">
        <f t="shared" si="16"/>
        <v>411</v>
      </c>
      <c r="B420" s="434" t="s">
        <v>435</v>
      </c>
      <c r="C420" s="398" t="s">
        <v>3104</v>
      </c>
      <c r="D420" s="441">
        <v>44410</v>
      </c>
      <c r="E420" s="441">
        <v>44415</v>
      </c>
      <c r="F420" s="454">
        <v>15500000</v>
      </c>
      <c r="G420" s="454">
        <v>16350000</v>
      </c>
      <c r="H420" s="573" t="s">
        <v>17</v>
      </c>
      <c r="I420" s="137"/>
      <c r="J420" s="137"/>
      <c r="K420" s="257"/>
      <c r="L420" s="137"/>
      <c r="M420" s="137"/>
      <c r="N420" s="101">
        <f t="shared" si="15"/>
        <v>850000</v>
      </c>
      <c r="O420" s="574" t="s">
        <v>3105</v>
      </c>
    </row>
    <row r="421" spans="1:15" hidden="1" x14ac:dyDescent="0.25">
      <c r="A421" s="428">
        <f t="shared" si="16"/>
        <v>412</v>
      </c>
      <c r="B421" s="434" t="s">
        <v>435</v>
      </c>
      <c r="C421" s="346" t="s">
        <v>3170</v>
      </c>
      <c r="D421" s="439">
        <v>44417</v>
      </c>
      <c r="E421" s="441">
        <v>44497</v>
      </c>
      <c r="F421" s="450">
        <v>14850000</v>
      </c>
      <c r="G421" s="450">
        <v>14850000</v>
      </c>
      <c r="H421" s="573" t="s">
        <v>17</v>
      </c>
      <c r="I421" s="20"/>
      <c r="J421" s="20"/>
      <c r="K421" s="2"/>
      <c r="L421" s="20"/>
      <c r="M421" s="20"/>
      <c r="N421" s="20">
        <f t="shared" si="15"/>
        <v>0</v>
      </c>
      <c r="O421" s="600" t="s">
        <v>3353</v>
      </c>
    </row>
    <row r="422" spans="1:15" hidden="1" x14ac:dyDescent="0.25">
      <c r="A422" s="428">
        <f t="shared" si="16"/>
        <v>413</v>
      </c>
      <c r="B422" s="434" t="s">
        <v>435</v>
      </c>
      <c r="C422" s="346" t="s">
        <v>3171</v>
      </c>
      <c r="D422" s="439">
        <v>44417</v>
      </c>
      <c r="E422" s="441">
        <v>44494</v>
      </c>
      <c r="F422" s="450">
        <v>14550000</v>
      </c>
      <c r="G422" s="454">
        <v>15250000</v>
      </c>
      <c r="H422" s="573" t="s">
        <v>17</v>
      </c>
      <c r="I422" s="20"/>
      <c r="J422" s="20"/>
      <c r="K422" s="2"/>
      <c r="L422" s="20"/>
      <c r="M422" s="20"/>
      <c r="N422" s="152">
        <f t="shared" si="15"/>
        <v>700000</v>
      </c>
      <c r="O422" s="600" t="s">
        <v>3353</v>
      </c>
    </row>
    <row r="423" spans="1:15" hidden="1" x14ac:dyDescent="0.25">
      <c r="A423" s="428">
        <f t="shared" si="16"/>
        <v>414</v>
      </c>
      <c r="B423" s="434" t="s">
        <v>435</v>
      </c>
      <c r="C423" s="346" t="s">
        <v>3172</v>
      </c>
      <c r="D423" s="439">
        <v>44417</v>
      </c>
      <c r="E423" s="441">
        <v>44470</v>
      </c>
      <c r="F423" s="450">
        <v>14850000</v>
      </c>
      <c r="G423" s="454">
        <v>16400000</v>
      </c>
      <c r="H423" s="573" t="s">
        <v>17</v>
      </c>
      <c r="I423" s="85"/>
      <c r="J423" s="85"/>
      <c r="K423" s="2"/>
      <c r="L423" s="20"/>
      <c r="M423" s="20"/>
      <c r="N423" s="20">
        <f t="shared" si="15"/>
        <v>1550000</v>
      </c>
      <c r="O423" s="591" t="s">
        <v>3293</v>
      </c>
    </row>
    <row r="424" spans="1:15" hidden="1" x14ac:dyDescent="0.25">
      <c r="A424" s="428">
        <f t="shared" si="16"/>
        <v>415</v>
      </c>
      <c r="B424" s="434" t="s">
        <v>435</v>
      </c>
      <c r="C424" s="346" t="s">
        <v>3173</v>
      </c>
      <c r="D424" s="439">
        <v>44417</v>
      </c>
      <c r="E424" s="441">
        <v>44485</v>
      </c>
      <c r="F424" s="450">
        <v>14850000</v>
      </c>
      <c r="G424" s="454">
        <v>15500000</v>
      </c>
      <c r="H424" s="586" t="s">
        <v>17</v>
      </c>
      <c r="I424" s="20"/>
      <c r="J424" s="20"/>
      <c r="K424" s="2"/>
      <c r="L424" s="20"/>
      <c r="M424" s="20"/>
      <c r="N424" s="20">
        <f t="shared" si="15"/>
        <v>650000</v>
      </c>
      <c r="O424" s="596" t="s">
        <v>3305</v>
      </c>
    </row>
    <row r="425" spans="1:15" hidden="1" x14ac:dyDescent="0.25">
      <c r="A425" s="428">
        <f t="shared" si="16"/>
        <v>416</v>
      </c>
      <c r="B425" s="434" t="s">
        <v>435</v>
      </c>
      <c r="C425" s="346" t="s">
        <v>3174</v>
      </c>
      <c r="D425" s="439">
        <v>44417</v>
      </c>
      <c r="E425" s="441">
        <v>44428</v>
      </c>
      <c r="F425" s="450">
        <v>14850000</v>
      </c>
      <c r="G425" s="454">
        <v>17100000</v>
      </c>
      <c r="H425" s="396" t="s">
        <v>17</v>
      </c>
      <c r="I425" s="20"/>
      <c r="J425" s="20"/>
      <c r="K425" s="2"/>
      <c r="L425" s="20"/>
      <c r="M425" s="20"/>
      <c r="N425" s="152">
        <f t="shared" si="15"/>
        <v>2250000</v>
      </c>
      <c r="O425" s="578" t="s">
        <v>3177</v>
      </c>
    </row>
    <row r="426" spans="1:15" hidden="1" x14ac:dyDescent="0.25">
      <c r="A426" s="428">
        <f t="shared" si="16"/>
        <v>417</v>
      </c>
      <c r="B426" s="434" t="s">
        <v>435</v>
      </c>
      <c r="C426" s="346" t="s">
        <v>3175</v>
      </c>
      <c r="D426" s="439">
        <v>44417</v>
      </c>
      <c r="E426" s="441">
        <v>44440</v>
      </c>
      <c r="F426" s="450">
        <v>14850000</v>
      </c>
      <c r="G426" s="454">
        <v>16050000</v>
      </c>
      <c r="H426" s="396" t="s">
        <v>17</v>
      </c>
      <c r="I426" s="20"/>
      <c r="J426" s="20"/>
      <c r="K426" s="2"/>
      <c r="L426" s="20"/>
      <c r="M426" s="20"/>
      <c r="N426" s="152">
        <f t="shared" si="15"/>
        <v>1200000</v>
      </c>
      <c r="O426" s="582" t="s">
        <v>3225</v>
      </c>
    </row>
    <row r="427" spans="1:15" hidden="1" x14ac:dyDescent="0.25">
      <c r="A427" s="426">
        <f t="shared" si="16"/>
        <v>418</v>
      </c>
      <c r="B427" s="434" t="s">
        <v>435</v>
      </c>
      <c r="C427" s="398" t="s">
        <v>3176</v>
      </c>
      <c r="D427" s="441">
        <v>44417</v>
      </c>
      <c r="E427" s="441">
        <v>44445</v>
      </c>
      <c r="F427" s="455">
        <v>14850000</v>
      </c>
      <c r="G427" s="454">
        <v>16100000</v>
      </c>
      <c r="H427" s="396" t="s">
        <v>17</v>
      </c>
      <c r="I427" s="144"/>
      <c r="J427" s="94"/>
      <c r="K427" s="3"/>
      <c r="L427" s="94"/>
      <c r="M427" s="94"/>
      <c r="N427" s="101">
        <f t="shared" si="15"/>
        <v>1250000</v>
      </c>
      <c r="O427" s="584" t="s">
        <v>3231</v>
      </c>
    </row>
    <row r="428" spans="1:15" hidden="1" x14ac:dyDescent="0.25">
      <c r="A428" s="426">
        <f t="shared" si="16"/>
        <v>419</v>
      </c>
      <c r="B428" s="76" t="s">
        <v>3232</v>
      </c>
      <c r="C428" s="346" t="s">
        <v>3233</v>
      </c>
      <c r="D428" s="439">
        <v>44448</v>
      </c>
      <c r="E428" s="441">
        <v>44450</v>
      </c>
      <c r="F428" s="450">
        <v>15000000</v>
      </c>
      <c r="G428" s="452">
        <v>16500000</v>
      </c>
      <c r="H428" s="396" t="s">
        <v>17</v>
      </c>
      <c r="I428" s="85"/>
      <c r="J428" s="20"/>
      <c r="K428" s="2"/>
      <c r="L428" s="20"/>
      <c r="M428" s="20"/>
      <c r="N428" s="101">
        <f t="shared" si="15"/>
        <v>1500000</v>
      </c>
      <c r="O428" s="584" t="s">
        <v>3231</v>
      </c>
    </row>
    <row r="429" spans="1:15" hidden="1" x14ac:dyDescent="0.25">
      <c r="A429" s="426">
        <f t="shared" si="16"/>
        <v>420</v>
      </c>
      <c r="B429" s="76" t="s">
        <v>434</v>
      </c>
      <c r="C429" s="346" t="s">
        <v>3234</v>
      </c>
      <c r="D429" s="439">
        <v>44448</v>
      </c>
      <c r="E429" s="441">
        <v>44449</v>
      </c>
      <c r="F429" s="450">
        <v>15750000</v>
      </c>
      <c r="G429" s="452">
        <v>17500000</v>
      </c>
      <c r="H429" s="396" t="s">
        <v>17</v>
      </c>
      <c r="I429" s="85"/>
      <c r="J429" s="20"/>
      <c r="K429" s="2"/>
      <c r="L429" s="20"/>
      <c r="M429" s="20"/>
      <c r="N429" s="101">
        <f t="shared" si="15"/>
        <v>1750000</v>
      </c>
      <c r="O429" s="584" t="s">
        <v>3231</v>
      </c>
    </row>
    <row r="430" spans="1:15" hidden="1" x14ac:dyDescent="0.25">
      <c r="A430" s="426">
        <f t="shared" si="16"/>
        <v>421</v>
      </c>
      <c r="B430" s="76" t="s">
        <v>434</v>
      </c>
      <c r="C430" s="346" t="s">
        <v>3235</v>
      </c>
      <c r="D430" s="439">
        <v>44448</v>
      </c>
      <c r="E430" s="441">
        <v>44467</v>
      </c>
      <c r="F430" s="450">
        <v>15750000</v>
      </c>
      <c r="G430" s="452">
        <v>16750000</v>
      </c>
      <c r="H430" s="586" t="s">
        <v>17</v>
      </c>
      <c r="I430" s="85"/>
      <c r="J430" s="20"/>
      <c r="K430" s="2"/>
      <c r="L430" s="20"/>
      <c r="M430" s="20"/>
      <c r="N430" s="101">
        <f t="shared" si="15"/>
        <v>1000000</v>
      </c>
      <c r="O430" s="591" t="s">
        <v>3293</v>
      </c>
    </row>
    <row r="431" spans="1:15" hidden="1" x14ac:dyDescent="0.25">
      <c r="A431" s="426">
        <f t="shared" si="16"/>
        <v>422</v>
      </c>
      <c r="B431" s="76" t="s">
        <v>224</v>
      </c>
      <c r="C431" s="346" t="s">
        <v>3236</v>
      </c>
      <c r="D431" s="439">
        <v>44448</v>
      </c>
      <c r="E431" s="441">
        <v>44467</v>
      </c>
      <c r="F431" s="450">
        <v>9000000</v>
      </c>
      <c r="G431" s="452">
        <v>9750000</v>
      </c>
      <c r="H431" s="586" t="s">
        <v>17</v>
      </c>
      <c r="I431" s="85"/>
      <c r="J431" s="20"/>
      <c r="K431" s="2"/>
      <c r="L431" s="20"/>
      <c r="M431" s="20"/>
      <c r="N431" s="101">
        <f t="shared" si="15"/>
        <v>750000</v>
      </c>
      <c r="O431" s="591" t="s">
        <v>3293</v>
      </c>
    </row>
    <row r="432" spans="1:15" hidden="1" x14ac:dyDescent="0.25">
      <c r="A432" s="426">
        <f t="shared" si="16"/>
        <v>423</v>
      </c>
      <c r="B432" s="76" t="s">
        <v>224</v>
      </c>
      <c r="C432" s="346" t="s">
        <v>3237</v>
      </c>
      <c r="D432" s="439">
        <v>44448</v>
      </c>
      <c r="E432" s="441">
        <v>44468</v>
      </c>
      <c r="F432" s="450">
        <v>9000000</v>
      </c>
      <c r="G432" s="452">
        <v>9775000</v>
      </c>
      <c r="H432" s="586" t="s">
        <v>17</v>
      </c>
      <c r="I432" s="85"/>
      <c r="J432" s="20"/>
      <c r="K432" s="2"/>
      <c r="L432" s="20"/>
      <c r="M432" s="20"/>
      <c r="N432" s="101">
        <f t="shared" si="15"/>
        <v>775000</v>
      </c>
      <c r="O432" s="591" t="s">
        <v>3293</v>
      </c>
    </row>
    <row r="433" spans="1:15" hidden="1" x14ac:dyDescent="0.25">
      <c r="A433" s="426">
        <f t="shared" si="16"/>
        <v>424</v>
      </c>
      <c r="B433" s="76" t="s">
        <v>224</v>
      </c>
      <c r="C433" s="346" t="s">
        <v>3238</v>
      </c>
      <c r="D433" s="439">
        <v>44448</v>
      </c>
      <c r="E433" s="441">
        <v>44450</v>
      </c>
      <c r="F433" s="450">
        <v>9000000</v>
      </c>
      <c r="G433" s="452">
        <v>10500000</v>
      </c>
      <c r="H433" s="396" t="s">
        <v>17</v>
      </c>
      <c r="I433" s="85"/>
      <c r="J433" s="20"/>
      <c r="K433" s="2"/>
      <c r="L433" s="20"/>
      <c r="M433" s="20"/>
      <c r="N433" s="101">
        <f t="shared" si="15"/>
        <v>1500000</v>
      </c>
      <c r="O433" s="584" t="s">
        <v>3231</v>
      </c>
    </row>
    <row r="434" spans="1:15" hidden="1" x14ac:dyDescent="0.25">
      <c r="A434" s="426">
        <f t="shared" si="16"/>
        <v>425</v>
      </c>
      <c r="B434" s="76" t="s">
        <v>224</v>
      </c>
      <c r="C434" s="346" t="s">
        <v>3242</v>
      </c>
      <c r="D434" s="439">
        <v>44448</v>
      </c>
      <c r="E434" s="441">
        <v>44456</v>
      </c>
      <c r="F434" s="450">
        <v>9000000</v>
      </c>
      <c r="G434" s="452">
        <v>10000000</v>
      </c>
      <c r="H434" s="586" t="s">
        <v>17</v>
      </c>
      <c r="I434" s="85"/>
      <c r="J434" s="20"/>
      <c r="K434" s="2"/>
      <c r="L434" s="20"/>
      <c r="M434" s="20"/>
      <c r="N434" s="101">
        <f t="shared" ref="N434:N497" si="17">G434-F434</f>
        <v>1000000</v>
      </c>
      <c r="O434" s="587" t="s">
        <v>3240</v>
      </c>
    </row>
    <row r="435" spans="1:15" hidden="1" x14ac:dyDescent="0.25">
      <c r="A435" s="428">
        <f t="shared" si="16"/>
        <v>426</v>
      </c>
      <c r="B435" s="76" t="s">
        <v>224</v>
      </c>
      <c r="C435" s="346" t="s">
        <v>3239</v>
      </c>
      <c r="D435" s="439">
        <v>44448</v>
      </c>
      <c r="E435" s="439">
        <v>44463</v>
      </c>
      <c r="F435" s="450">
        <v>9000000</v>
      </c>
      <c r="G435" s="452">
        <v>9750000</v>
      </c>
      <c r="H435" s="586" t="s">
        <v>17</v>
      </c>
      <c r="I435" s="85"/>
      <c r="J435" s="20"/>
      <c r="K435" s="2"/>
      <c r="L435" s="20"/>
      <c r="M435" s="20"/>
      <c r="N435" s="152">
        <f t="shared" si="17"/>
        <v>750000</v>
      </c>
      <c r="O435" s="589" t="s">
        <v>3243</v>
      </c>
    </row>
    <row r="436" spans="1:15" hidden="1" x14ac:dyDescent="0.25">
      <c r="A436" s="428">
        <f t="shared" si="16"/>
        <v>427</v>
      </c>
      <c r="B436" s="76" t="s">
        <v>309</v>
      </c>
      <c r="C436" s="346" t="s">
        <v>3302</v>
      </c>
      <c r="D436" s="439">
        <v>44473</v>
      </c>
      <c r="E436" s="441">
        <v>44475</v>
      </c>
      <c r="F436" s="450">
        <v>18050000</v>
      </c>
      <c r="G436" s="452">
        <v>19600000</v>
      </c>
      <c r="H436" s="586" t="s">
        <v>17</v>
      </c>
      <c r="I436" s="85"/>
      <c r="J436" s="20"/>
      <c r="K436" s="2"/>
      <c r="L436" s="20"/>
      <c r="M436" s="20"/>
      <c r="N436" s="152">
        <f t="shared" si="17"/>
        <v>1550000</v>
      </c>
      <c r="O436" s="594" t="s">
        <v>3295</v>
      </c>
    </row>
    <row r="437" spans="1:15" hidden="1" x14ac:dyDescent="0.25">
      <c r="A437" s="428">
        <f t="shared" si="16"/>
        <v>428</v>
      </c>
      <c r="B437" s="76" t="s">
        <v>309</v>
      </c>
      <c r="C437" s="346" t="s">
        <v>3297</v>
      </c>
      <c r="D437" s="439">
        <v>44473</v>
      </c>
      <c r="E437" s="441">
        <v>44484</v>
      </c>
      <c r="F437" s="450">
        <v>14550000</v>
      </c>
      <c r="G437" s="452">
        <v>15400000</v>
      </c>
      <c r="H437" s="586" t="s">
        <v>17</v>
      </c>
      <c r="I437" s="85"/>
      <c r="J437" s="20"/>
      <c r="K437" s="2"/>
      <c r="L437" s="20"/>
      <c r="M437" s="20"/>
      <c r="N437" s="152">
        <f t="shared" si="17"/>
        <v>850000</v>
      </c>
      <c r="O437" s="596" t="s">
        <v>3305</v>
      </c>
    </row>
    <row r="438" spans="1:15" hidden="1" x14ac:dyDescent="0.25">
      <c r="A438" s="428">
        <f t="shared" si="16"/>
        <v>429</v>
      </c>
      <c r="B438" s="76" t="s">
        <v>87</v>
      </c>
      <c r="C438" s="346" t="s">
        <v>3304</v>
      </c>
      <c r="D438" s="439">
        <v>44473</v>
      </c>
      <c r="E438" s="441">
        <v>44475</v>
      </c>
      <c r="F438" s="450">
        <v>13050000</v>
      </c>
      <c r="G438" s="452">
        <v>13750000</v>
      </c>
      <c r="H438" s="586" t="s">
        <v>17</v>
      </c>
      <c r="I438" s="85"/>
      <c r="J438" s="20"/>
      <c r="K438" s="2"/>
      <c r="L438" s="20"/>
      <c r="M438" s="20"/>
      <c r="N438" s="152">
        <f t="shared" si="17"/>
        <v>700000</v>
      </c>
      <c r="O438" s="594" t="s">
        <v>3295</v>
      </c>
    </row>
    <row r="439" spans="1:15" hidden="1" x14ac:dyDescent="0.25">
      <c r="A439" s="428">
        <f t="shared" ref="A439:A502" si="18">A438+1</f>
        <v>430</v>
      </c>
      <c r="B439" s="76" t="s">
        <v>87</v>
      </c>
      <c r="C439" s="346" t="s">
        <v>3296</v>
      </c>
      <c r="D439" s="439">
        <v>44473</v>
      </c>
      <c r="E439" s="441">
        <v>44475</v>
      </c>
      <c r="F439" s="450">
        <v>13050000</v>
      </c>
      <c r="G439" s="452">
        <v>16000000</v>
      </c>
      <c r="H439" s="586" t="s">
        <v>17</v>
      </c>
      <c r="I439" s="85"/>
      <c r="J439" s="20"/>
      <c r="K439" s="2"/>
      <c r="L439" s="20"/>
      <c r="M439" s="20"/>
      <c r="N439" s="152">
        <f t="shared" si="17"/>
        <v>2950000</v>
      </c>
      <c r="O439" s="594" t="s">
        <v>3295</v>
      </c>
    </row>
    <row r="440" spans="1:15" hidden="1" x14ac:dyDescent="0.25">
      <c r="A440" s="428">
        <f t="shared" si="18"/>
        <v>431</v>
      </c>
      <c r="B440" s="76" t="s">
        <v>87</v>
      </c>
      <c r="C440" s="346" t="s">
        <v>3298</v>
      </c>
      <c r="D440" s="439">
        <v>44473</v>
      </c>
      <c r="E440" s="441">
        <v>44538</v>
      </c>
      <c r="F440" s="450">
        <v>11050000</v>
      </c>
      <c r="G440" s="452">
        <v>11525000</v>
      </c>
      <c r="H440" s="573" t="s">
        <v>3535</v>
      </c>
      <c r="I440" s="85"/>
      <c r="J440" s="20"/>
      <c r="K440" s="2"/>
      <c r="L440" s="20"/>
      <c r="M440" s="20"/>
      <c r="N440" s="152">
        <f t="shared" si="17"/>
        <v>475000</v>
      </c>
      <c r="O440" s="614" t="s">
        <v>3534</v>
      </c>
    </row>
    <row r="441" spans="1:15" hidden="1" x14ac:dyDescent="0.25">
      <c r="A441" s="428">
        <f t="shared" si="18"/>
        <v>432</v>
      </c>
      <c r="B441" s="76" t="s">
        <v>2883</v>
      </c>
      <c r="C441" s="346" t="s">
        <v>3299</v>
      </c>
      <c r="D441" s="439">
        <v>44473</v>
      </c>
      <c r="E441" s="441">
        <v>44474</v>
      </c>
      <c r="F441" s="450">
        <v>11550000</v>
      </c>
      <c r="G441" s="452">
        <v>12500000</v>
      </c>
      <c r="H441" s="586" t="s">
        <v>17</v>
      </c>
      <c r="I441" s="85"/>
      <c r="J441" s="20"/>
      <c r="K441" s="2"/>
      <c r="L441" s="20"/>
      <c r="M441" s="20"/>
      <c r="N441" s="152">
        <f t="shared" si="17"/>
        <v>950000</v>
      </c>
      <c r="O441" s="594" t="s">
        <v>3295</v>
      </c>
    </row>
    <row r="442" spans="1:15" hidden="1" x14ac:dyDescent="0.25">
      <c r="A442" s="428">
        <f t="shared" si="18"/>
        <v>433</v>
      </c>
      <c r="B442" s="76" t="s">
        <v>2883</v>
      </c>
      <c r="C442" s="346" t="s">
        <v>3300</v>
      </c>
      <c r="D442" s="439">
        <v>44473</v>
      </c>
      <c r="E442" s="441">
        <v>44474</v>
      </c>
      <c r="F442" s="450">
        <v>11050000</v>
      </c>
      <c r="G442" s="452">
        <v>12900000</v>
      </c>
      <c r="H442" s="586" t="s">
        <v>17</v>
      </c>
      <c r="I442" s="85"/>
      <c r="J442" s="20"/>
      <c r="K442" s="2"/>
      <c r="L442" s="20"/>
      <c r="M442" s="20"/>
      <c r="N442" s="152">
        <f t="shared" si="17"/>
        <v>1850000</v>
      </c>
      <c r="O442" s="594" t="s">
        <v>3295</v>
      </c>
    </row>
    <row r="443" spans="1:15" hidden="1" x14ac:dyDescent="0.25">
      <c r="A443" s="428">
        <f t="shared" si="18"/>
        <v>434</v>
      </c>
      <c r="B443" s="76" t="s">
        <v>2883</v>
      </c>
      <c r="C443" s="346" t="s">
        <v>3301</v>
      </c>
      <c r="D443" s="439">
        <v>44473</v>
      </c>
      <c r="E443" s="441">
        <v>44483</v>
      </c>
      <c r="F443" s="450">
        <v>11550000</v>
      </c>
      <c r="G443" s="452">
        <v>12000000</v>
      </c>
      <c r="H443" s="586" t="s">
        <v>17</v>
      </c>
      <c r="I443" s="85"/>
      <c r="J443" s="20"/>
      <c r="K443" s="2"/>
      <c r="L443" s="20"/>
      <c r="M443" s="20"/>
      <c r="N443" s="152">
        <f t="shared" si="17"/>
        <v>450000</v>
      </c>
      <c r="O443" s="596" t="s">
        <v>3305</v>
      </c>
    </row>
    <row r="444" spans="1:15" hidden="1" x14ac:dyDescent="0.25">
      <c r="A444" s="428">
        <f t="shared" si="18"/>
        <v>435</v>
      </c>
      <c r="B444" s="76" t="s">
        <v>2883</v>
      </c>
      <c r="C444" s="346" t="s">
        <v>3431</v>
      </c>
      <c r="D444" s="439">
        <v>44473</v>
      </c>
      <c r="E444" s="441">
        <v>44516</v>
      </c>
      <c r="F444" s="450">
        <v>11050000</v>
      </c>
      <c r="G444" s="452">
        <v>11750000</v>
      </c>
      <c r="H444" s="573" t="s">
        <v>17</v>
      </c>
      <c r="I444" s="85"/>
      <c r="J444" s="20"/>
      <c r="K444" s="2"/>
      <c r="L444" s="20"/>
      <c r="M444" s="20"/>
      <c r="N444" s="152">
        <f t="shared" si="17"/>
        <v>700000</v>
      </c>
      <c r="O444" s="603" t="s">
        <v>3430</v>
      </c>
    </row>
    <row r="445" spans="1:15" hidden="1" x14ac:dyDescent="0.25">
      <c r="A445" s="428">
        <f t="shared" si="18"/>
        <v>436</v>
      </c>
      <c r="B445" s="434" t="s">
        <v>2883</v>
      </c>
      <c r="C445" s="398" t="s">
        <v>3352</v>
      </c>
      <c r="D445" s="441">
        <v>44473</v>
      </c>
      <c r="E445" s="441">
        <v>44489</v>
      </c>
      <c r="F445" s="455">
        <v>11050000</v>
      </c>
      <c r="G445" s="454">
        <v>11750000</v>
      </c>
      <c r="H445" s="573" t="s">
        <v>17</v>
      </c>
      <c r="I445" s="144"/>
      <c r="J445" s="94"/>
      <c r="K445" s="3"/>
      <c r="L445" s="94"/>
      <c r="M445" s="94"/>
      <c r="N445" s="101">
        <f t="shared" si="17"/>
        <v>700000</v>
      </c>
      <c r="O445" s="598" t="s">
        <v>3347</v>
      </c>
    </row>
    <row r="446" spans="1:15" hidden="1" x14ac:dyDescent="0.25">
      <c r="A446" s="428">
        <f t="shared" si="18"/>
        <v>437</v>
      </c>
      <c r="B446" s="76" t="s">
        <v>309</v>
      </c>
      <c r="C446" s="346" t="s">
        <v>3348</v>
      </c>
      <c r="D446" s="439">
        <v>44487</v>
      </c>
      <c r="E446" s="439">
        <v>44487</v>
      </c>
      <c r="F446" s="450">
        <v>14050000</v>
      </c>
      <c r="G446" s="452">
        <v>15000000</v>
      </c>
      <c r="H446" s="573" t="s">
        <v>17</v>
      </c>
      <c r="I446" s="85"/>
      <c r="J446" s="20"/>
      <c r="K446" s="2"/>
      <c r="L446" s="20"/>
      <c r="M446" s="20"/>
      <c r="N446" s="101">
        <f t="shared" si="17"/>
        <v>950000</v>
      </c>
      <c r="O446" s="598" t="s">
        <v>3347</v>
      </c>
    </row>
    <row r="447" spans="1:15" hidden="1" x14ac:dyDescent="0.25">
      <c r="A447" s="428">
        <f t="shared" si="18"/>
        <v>438</v>
      </c>
      <c r="B447" s="76" t="s">
        <v>87</v>
      </c>
      <c r="C447" s="346" t="s">
        <v>3349</v>
      </c>
      <c r="D447" s="439">
        <v>44487</v>
      </c>
      <c r="E447" s="441">
        <v>44492</v>
      </c>
      <c r="F447" s="450">
        <v>10550000</v>
      </c>
      <c r="G447" s="452">
        <v>11550000</v>
      </c>
      <c r="H447" s="573" t="s">
        <v>17</v>
      </c>
      <c r="I447" s="85"/>
      <c r="J447" s="20"/>
      <c r="K447" s="2"/>
      <c r="L447" s="20"/>
      <c r="M447" s="20"/>
      <c r="N447" s="101">
        <f t="shared" si="17"/>
        <v>1000000</v>
      </c>
      <c r="O447" s="598" t="s">
        <v>3347</v>
      </c>
    </row>
    <row r="448" spans="1:15" hidden="1" x14ac:dyDescent="0.25">
      <c r="A448" s="428">
        <f t="shared" si="18"/>
        <v>439</v>
      </c>
      <c r="B448" s="76" t="s">
        <v>87</v>
      </c>
      <c r="C448" s="346" t="s">
        <v>3350</v>
      </c>
      <c r="D448" s="439">
        <v>44487</v>
      </c>
      <c r="E448" s="441">
        <v>44492</v>
      </c>
      <c r="F448" s="450">
        <v>10550000</v>
      </c>
      <c r="G448" s="452">
        <v>12500000</v>
      </c>
      <c r="H448" s="573" t="s">
        <v>17</v>
      </c>
      <c r="I448" s="85"/>
      <c r="J448" s="20"/>
      <c r="K448" s="2"/>
      <c r="L448" s="20"/>
      <c r="M448" s="20"/>
      <c r="N448" s="101">
        <f t="shared" si="17"/>
        <v>1950000</v>
      </c>
      <c r="O448" s="598" t="s">
        <v>3347</v>
      </c>
    </row>
    <row r="449" spans="1:15" hidden="1" x14ac:dyDescent="0.25">
      <c r="A449" s="426">
        <f t="shared" si="18"/>
        <v>440</v>
      </c>
      <c r="B449" s="434" t="s">
        <v>87</v>
      </c>
      <c r="C449" s="398" t="s">
        <v>3351</v>
      </c>
      <c r="D449" s="441">
        <v>44487</v>
      </c>
      <c r="E449" s="441">
        <v>44538</v>
      </c>
      <c r="F449" s="455">
        <v>10550000</v>
      </c>
      <c r="G449" s="454">
        <v>11500000</v>
      </c>
      <c r="H449" s="573" t="s">
        <v>3535</v>
      </c>
      <c r="I449" s="144"/>
      <c r="J449" s="94"/>
      <c r="K449" s="3"/>
      <c r="L449" s="94"/>
      <c r="M449" s="94"/>
      <c r="N449" s="101">
        <f t="shared" si="17"/>
        <v>950000</v>
      </c>
      <c r="O449" s="614" t="s">
        <v>3534</v>
      </c>
    </row>
    <row r="450" spans="1:15" hidden="1" x14ac:dyDescent="0.25">
      <c r="A450" s="426">
        <f t="shared" si="18"/>
        <v>441</v>
      </c>
      <c r="B450" s="76" t="s">
        <v>434</v>
      </c>
      <c r="C450" s="346" t="s">
        <v>3356</v>
      </c>
      <c r="D450" s="439">
        <v>44504</v>
      </c>
      <c r="E450" s="439">
        <v>44506</v>
      </c>
      <c r="F450" s="450">
        <v>16350000</v>
      </c>
      <c r="G450" s="452">
        <v>17500000</v>
      </c>
      <c r="H450" s="573" t="s">
        <v>17</v>
      </c>
      <c r="I450" s="85"/>
      <c r="J450" s="20"/>
      <c r="K450" s="2"/>
      <c r="L450" s="20"/>
      <c r="M450" s="20"/>
      <c r="N450" s="101">
        <f t="shared" si="17"/>
        <v>1150000</v>
      </c>
      <c r="O450" s="521" t="s">
        <v>3355</v>
      </c>
    </row>
    <row r="451" spans="1:15" hidden="1" x14ac:dyDescent="0.25">
      <c r="A451" s="426">
        <f t="shared" si="18"/>
        <v>442</v>
      </c>
      <c r="B451" s="76" t="s">
        <v>434</v>
      </c>
      <c r="C451" s="346" t="s">
        <v>3357</v>
      </c>
      <c r="D451" s="439">
        <v>44504</v>
      </c>
      <c r="E451" s="439">
        <v>44506</v>
      </c>
      <c r="F451" s="450">
        <v>16350000</v>
      </c>
      <c r="G451" s="452">
        <v>17000000</v>
      </c>
      <c r="H451" s="573" t="s">
        <v>17</v>
      </c>
      <c r="I451" s="85"/>
      <c r="J451" s="20"/>
      <c r="K451" s="2"/>
      <c r="L451" s="20"/>
      <c r="M451" s="20"/>
      <c r="N451" s="101">
        <f t="shared" si="17"/>
        <v>650000</v>
      </c>
      <c r="O451" s="521" t="s">
        <v>3355</v>
      </c>
    </row>
    <row r="452" spans="1:15" hidden="1" x14ac:dyDescent="0.25">
      <c r="A452" s="426">
        <f t="shared" si="18"/>
        <v>443</v>
      </c>
      <c r="B452" s="76" t="s">
        <v>434</v>
      </c>
      <c r="C452" s="346" t="s">
        <v>3358</v>
      </c>
      <c r="D452" s="439">
        <v>44504</v>
      </c>
      <c r="E452" s="439">
        <v>44512</v>
      </c>
      <c r="F452" s="450">
        <v>16350000</v>
      </c>
      <c r="G452" s="452">
        <v>16950000</v>
      </c>
      <c r="H452" s="573" t="s">
        <v>17</v>
      </c>
      <c r="I452" s="85"/>
      <c r="J452" s="20"/>
      <c r="K452" s="2"/>
      <c r="L452" s="20"/>
      <c r="M452" s="20"/>
      <c r="N452" s="101">
        <f t="shared" si="17"/>
        <v>600000</v>
      </c>
      <c r="O452" s="602" t="s">
        <v>3366</v>
      </c>
    </row>
    <row r="453" spans="1:15" hidden="1" x14ac:dyDescent="0.25">
      <c r="A453" s="426">
        <f t="shared" si="18"/>
        <v>444</v>
      </c>
      <c r="B453" s="76" t="s">
        <v>434</v>
      </c>
      <c r="C453" s="346" t="s">
        <v>3359</v>
      </c>
      <c r="D453" s="439">
        <v>44504</v>
      </c>
      <c r="E453" s="439">
        <v>44504</v>
      </c>
      <c r="F453" s="450">
        <v>16350000</v>
      </c>
      <c r="G453" s="452">
        <v>16500000</v>
      </c>
      <c r="H453" s="573" t="s">
        <v>17</v>
      </c>
      <c r="I453" s="85"/>
      <c r="J453" s="20"/>
      <c r="K453" s="2"/>
      <c r="L453" s="20"/>
      <c r="M453" s="20"/>
      <c r="N453" s="101">
        <f t="shared" si="17"/>
        <v>150000</v>
      </c>
      <c r="O453" s="521" t="s">
        <v>3355</v>
      </c>
    </row>
    <row r="454" spans="1:15" hidden="1" x14ac:dyDescent="0.25">
      <c r="A454" s="426">
        <f t="shared" si="18"/>
        <v>445</v>
      </c>
      <c r="B454" s="76" t="s">
        <v>434</v>
      </c>
      <c r="C454" s="346" t="s">
        <v>3360</v>
      </c>
      <c r="D454" s="439">
        <v>44504</v>
      </c>
      <c r="E454" s="439">
        <v>44504</v>
      </c>
      <c r="F454" s="450">
        <v>16350000</v>
      </c>
      <c r="G454" s="452">
        <v>17750000</v>
      </c>
      <c r="H454" s="547" t="s">
        <v>17</v>
      </c>
      <c r="I454" s="85"/>
      <c r="J454" s="20"/>
      <c r="K454" s="2"/>
      <c r="L454" s="20"/>
      <c r="M454" s="20"/>
      <c r="N454" s="101">
        <f t="shared" si="17"/>
        <v>1400000</v>
      </c>
      <c r="O454" s="521" t="s">
        <v>3355</v>
      </c>
    </row>
    <row r="455" spans="1:15" hidden="1" x14ac:dyDescent="0.25">
      <c r="A455" s="426">
        <f t="shared" si="18"/>
        <v>446</v>
      </c>
      <c r="B455" s="76" t="s">
        <v>434</v>
      </c>
      <c r="C455" s="346" t="s">
        <v>3361</v>
      </c>
      <c r="D455" s="439">
        <v>44504</v>
      </c>
      <c r="E455" s="439">
        <v>44511</v>
      </c>
      <c r="F455" s="450">
        <v>15350000</v>
      </c>
      <c r="G455" s="452">
        <v>16250000</v>
      </c>
      <c r="H455" s="573" t="s">
        <v>17</v>
      </c>
      <c r="I455" s="85"/>
      <c r="J455" s="20"/>
      <c r="K455" s="2"/>
      <c r="L455" s="20"/>
      <c r="M455" s="20"/>
      <c r="N455" s="101">
        <f t="shared" si="17"/>
        <v>900000</v>
      </c>
      <c r="O455" s="602" t="s">
        <v>3366</v>
      </c>
    </row>
    <row r="456" spans="1:15" hidden="1" x14ac:dyDescent="0.25">
      <c r="A456" s="426">
        <f t="shared" si="18"/>
        <v>447</v>
      </c>
      <c r="B456" s="76" t="s">
        <v>87</v>
      </c>
      <c r="C456" s="346" t="s">
        <v>3362</v>
      </c>
      <c r="D456" s="439">
        <v>44504</v>
      </c>
      <c r="E456" s="439">
        <v>44508</v>
      </c>
      <c r="F456" s="450">
        <v>12600000</v>
      </c>
      <c r="G456" s="452">
        <v>13450000</v>
      </c>
      <c r="H456" s="573" t="s">
        <v>17</v>
      </c>
      <c r="I456" s="85"/>
      <c r="J456" s="20"/>
      <c r="K456" s="2"/>
      <c r="L456" s="20"/>
      <c r="M456" s="20"/>
      <c r="N456" s="101">
        <f t="shared" si="17"/>
        <v>850000</v>
      </c>
      <c r="O456" s="602" t="s">
        <v>3366</v>
      </c>
    </row>
    <row r="457" spans="1:15" hidden="1" x14ac:dyDescent="0.25">
      <c r="A457" s="426">
        <f t="shared" si="18"/>
        <v>448</v>
      </c>
      <c r="B457" s="76" t="s">
        <v>87</v>
      </c>
      <c r="C457" s="346" t="s">
        <v>3363</v>
      </c>
      <c r="D457" s="439">
        <v>44504</v>
      </c>
      <c r="E457" s="439">
        <v>44520</v>
      </c>
      <c r="F457" s="450">
        <v>12600000</v>
      </c>
      <c r="G457" s="452">
        <v>13250000</v>
      </c>
      <c r="H457" s="573" t="s">
        <v>17</v>
      </c>
      <c r="I457" s="85"/>
      <c r="J457" s="20"/>
      <c r="K457" s="2"/>
      <c r="L457" s="20"/>
      <c r="M457" s="20"/>
      <c r="N457" s="101">
        <f t="shared" si="17"/>
        <v>650000</v>
      </c>
      <c r="O457" s="603" t="s">
        <v>3430</v>
      </c>
    </row>
    <row r="458" spans="1:15" hidden="1" x14ac:dyDescent="0.25">
      <c r="A458" s="426">
        <f t="shared" si="18"/>
        <v>449</v>
      </c>
      <c r="B458" s="76" t="s">
        <v>87</v>
      </c>
      <c r="C458" s="346" t="s">
        <v>3364</v>
      </c>
      <c r="D458" s="439">
        <v>44504</v>
      </c>
      <c r="E458" s="439">
        <v>44517</v>
      </c>
      <c r="F458" s="450">
        <v>12600000</v>
      </c>
      <c r="G458" s="452">
        <v>13600000</v>
      </c>
      <c r="H458" s="573" t="s">
        <v>17</v>
      </c>
      <c r="I458" s="85"/>
      <c r="J458" s="20"/>
      <c r="K458" s="2"/>
      <c r="L458" s="20"/>
      <c r="M458" s="20"/>
      <c r="N458" s="101">
        <f t="shared" si="17"/>
        <v>1000000</v>
      </c>
      <c r="O458" s="603" t="s">
        <v>3430</v>
      </c>
    </row>
    <row r="459" spans="1:15" hidden="1" x14ac:dyDescent="0.25">
      <c r="A459" s="426">
        <f t="shared" si="18"/>
        <v>450</v>
      </c>
      <c r="B459" s="434" t="s">
        <v>87</v>
      </c>
      <c r="C459" s="398" t="s">
        <v>3365</v>
      </c>
      <c r="D459" s="441">
        <v>44504</v>
      </c>
      <c r="E459" s="441">
        <v>44505</v>
      </c>
      <c r="F459" s="455">
        <v>12600000</v>
      </c>
      <c r="G459" s="454">
        <v>13250000</v>
      </c>
      <c r="H459" s="573" t="s">
        <v>17</v>
      </c>
      <c r="I459" s="144"/>
      <c r="J459" s="94"/>
      <c r="K459" s="3"/>
      <c r="L459" s="94"/>
      <c r="M459" s="94"/>
      <c r="N459" s="101">
        <f t="shared" si="17"/>
        <v>650000</v>
      </c>
      <c r="O459" s="521" t="s">
        <v>3355</v>
      </c>
    </row>
    <row r="460" spans="1:15" hidden="1" x14ac:dyDescent="0.25">
      <c r="A460" s="428">
        <f>A459+1</f>
        <v>451</v>
      </c>
      <c r="B460" s="76" t="s">
        <v>434</v>
      </c>
      <c r="C460" s="346" t="s">
        <v>3432</v>
      </c>
      <c r="D460" s="439">
        <v>44518</v>
      </c>
      <c r="E460" s="439">
        <v>44532</v>
      </c>
      <c r="F460" s="450">
        <v>15500000</v>
      </c>
      <c r="G460" s="452">
        <v>18250000</v>
      </c>
      <c r="H460" s="573" t="s">
        <v>17</v>
      </c>
      <c r="I460" s="20"/>
      <c r="J460" s="20"/>
      <c r="K460" s="2"/>
      <c r="L460" s="20"/>
      <c r="M460" s="20"/>
      <c r="N460" s="101">
        <f t="shared" si="17"/>
        <v>2750000</v>
      </c>
      <c r="O460" s="612" t="s">
        <v>3494</v>
      </c>
    </row>
    <row r="461" spans="1:15" hidden="1" x14ac:dyDescent="0.25">
      <c r="A461" s="428">
        <f t="shared" si="18"/>
        <v>452</v>
      </c>
      <c r="B461" s="76" t="s">
        <v>434</v>
      </c>
      <c r="C461" s="346" t="s">
        <v>3433</v>
      </c>
      <c r="D461" s="439">
        <v>44518</v>
      </c>
      <c r="E461" s="439">
        <v>44519</v>
      </c>
      <c r="F461" s="450">
        <v>15500000</v>
      </c>
      <c r="G461" s="452">
        <v>16750000</v>
      </c>
      <c r="H461" s="396" t="s">
        <v>17</v>
      </c>
      <c r="I461" s="20"/>
      <c r="J461" s="20"/>
      <c r="K461" s="2"/>
      <c r="L461" s="20"/>
      <c r="M461" s="20"/>
      <c r="N461" s="101">
        <f t="shared" si="17"/>
        <v>1250000</v>
      </c>
      <c r="O461" s="603" t="s">
        <v>3430</v>
      </c>
    </row>
    <row r="462" spans="1:15" hidden="1" x14ac:dyDescent="0.25">
      <c r="A462" s="428">
        <f t="shared" si="18"/>
        <v>453</v>
      </c>
      <c r="B462" s="76" t="s">
        <v>434</v>
      </c>
      <c r="C462" s="346" t="s">
        <v>3434</v>
      </c>
      <c r="D462" s="439">
        <v>44518</v>
      </c>
      <c r="E462" s="439">
        <v>44525</v>
      </c>
      <c r="F462" s="450">
        <v>15500000</v>
      </c>
      <c r="G462" s="452">
        <v>17000000</v>
      </c>
      <c r="H462" s="573" t="s">
        <v>17</v>
      </c>
      <c r="I462" s="20"/>
      <c r="J462" s="20"/>
      <c r="K462" s="2"/>
      <c r="L462" s="20"/>
      <c r="M462" s="20"/>
      <c r="N462" s="101">
        <f t="shared" si="17"/>
        <v>1500000</v>
      </c>
      <c r="O462" s="610" t="s">
        <v>3442</v>
      </c>
    </row>
    <row r="463" spans="1:15" hidden="1" x14ac:dyDescent="0.25">
      <c r="A463" s="428">
        <f t="shared" si="18"/>
        <v>454</v>
      </c>
      <c r="B463" s="76" t="s">
        <v>434</v>
      </c>
      <c r="C463" s="346" t="s">
        <v>3435</v>
      </c>
      <c r="D463" s="439">
        <v>44518</v>
      </c>
      <c r="E463" s="439">
        <v>44568</v>
      </c>
      <c r="F463" s="450">
        <v>15500000</v>
      </c>
      <c r="G463" s="452">
        <v>16500000</v>
      </c>
      <c r="H463" s="573" t="s">
        <v>3535</v>
      </c>
      <c r="I463" s="20"/>
      <c r="J463" s="20"/>
      <c r="K463" s="2"/>
      <c r="L463" s="20"/>
      <c r="M463" s="20"/>
      <c r="N463" s="101">
        <f t="shared" si="17"/>
        <v>1000000</v>
      </c>
      <c r="O463" s="617" t="s">
        <v>3612</v>
      </c>
    </row>
    <row r="464" spans="1:15" hidden="1" x14ac:dyDescent="0.25">
      <c r="A464" s="428">
        <f t="shared" si="18"/>
        <v>455</v>
      </c>
      <c r="B464" s="76" t="s">
        <v>434</v>
      </c>
      <c r="C464" s="346" t="s">
        <v>3436</v>
      </c>
      <c r="D464" s="439">
        <v>44518</v>
      </c>
      <c r="E464" s="439">
        <v>44518</v>
      </c>
      <c r="F464" s="450">
        <v>15500000</v>
      </c>
      <c r="G464" s="452">
        <v>16000000</v>
      </c>
      <c r="H464" s="396" t="s">
        <v>17</v>
      </c>
      <c r="I464" s="20"/>
      <c r="J464" s="85"/>
      <c r="K464" s="2"/>
      <c r="L464" s="20"/>
      <c r="M464" s="20"/>
      <c r="N464" s="101">
        <f t="shared" si="17"/>
        <v>500000</v>
      </c>
      <c r="O464" s="603" t="s">
        <v>3430</v>
      </c>
    </row>
    <row r="465" spans="1:15" hidden="1" x14ac:dyDescent="0.25">
      <c r="A465" s="428">
        <f t="shared" si="18"/>
        <v>456</v>
      </c>
      <c r="B465" s="76" t="s">
        <v>434</v>
      </c>
      <c r="C465" s="346" t="s">
        <v>4026</v>
      </c>
      <c r="D465" s="439">
        <v>44518</v>
      </c>
      <c r="E465" s="439" t="s">
        <v>4036</v>
      </c>
      <c r="F465" s="450">
        <v>15500000</v>
      </c>
      <c r="G465" s="664">
        <v>15500000</v>
      </c>
      <c r="H465" s="663" t="s">
        <v>4044</v>
      </c>
      <c r="I465" s="20"/>
      <c r="J465" s="20"/>
      <c r="K465" s="2"/>
      <c r="L465" s="20"/>
      <c r="M465" s="20"/>
      <c r="N465" s="101">
        <f t="shared" si="17"/>
        <v>0</v>
      </c>
      <c r="O465" s="604" t="s">
        <v>4045</v>
      </c>
    </row>
    <row r="466" spans="1:15" hidden="1" x14ac:dyDescent="0.25">
      <c r="A466" s="428">
        <f t="shared" si="18"/>
        <v>457</v>
      </c>
      <c r="B466" s="76" t="s">
        <v>434</v>
      </c>
      <c r="C466" s="346" t="s">
        <v>3437</v>
      </c>
      <c r="D466" s="439">
        <v>44518</v>
      </c>
      <c r="E466" s="439">
        <v>44537</v>
      </c>
      <c r="F466" s="450">
        <v>15500000</v>
      </c>
      <c r="G466" s="452">
        <v>17250000</v>
      </c>
      <c r="H466" s="573" t="s">
        <v>3535</v>
      </c>
      <c r="I466" s="20"/>
      <c r="J466" s="20"/>
      <c r="K466" s="2"/>
      <c r="L466" s="20"/>
      <c r="M466" s="20"/>
      <c r="N466" s="101">
        <f t="shared" si="17"/>
        <v>1750000</v>
      </c>
      <c r="O466" s="614" t="s">
        <v>3534</v>
      </c>
    </row>
    <row r="467" spans="1:15" hidden="1" x14ac:dyDescent="0.25">
      <c r="A467" s="428">
        <f t="shared" si="18"/>
        <v>458</v>
      </c>
      <c r="B467" s="76" t="s">
        <v>434</v>
      </c>
      <c r="C467" s="346" t="s">
        <v>3438</v>
      </c>
      <c r="D467" s="439">
        <v>44518</v>
      </c>
      <c r="E467" s="439">
        <v>44545</v>
      </c>
      <c r="F467" s="450">
        <v>15500000</v>
      </c>
      <c r="G467" s="452">
        <v>16900000</v>
      </c>
      <c r="H467" s="573" t="s">
        <v>3535</v>
      </c>
      <c r="I467" s="20"/>
      <c r="J467" s="20"/>
      <c r="K467" s="2"/>
      <c r="L467" s="20"/>
      <c r="M467" s="20"/>
      <c r="N467" s="101">
        <f t="shared" si="17"/>
        <v>1400000</v>
      </c>
      <c r="O467" s="617" t="s">
        <v>3544</v>
      </c>
    </row>
    <row r="468" spans="1:15" hidden="1" x14ac:dyDescent="0.25">
      <c r="A468" s="428">
        <f t="shared" si="18"/>
        <v>459</v>
      </c>
      <c r="B468" s="76" t="s">
        <v>434</v>
      </c>
      <c r="C468" s="346" t="s">
        <v>3439</v>
      </c>
      <c r="D468" s="439">
        <v>44518</v>
      </c>
      <c r="E468" s="439">
        <v>44533</v>
      </c>
      <c r="F468" s="450">
        <v>15500000</v>
      </c>
      <c r="G468" s="452">
        <v>18000000</v>
      </c>
      <c r="H468" s="573" t="s">
        <v>17</v>
      </c>
      <c r="I468" s="20"/>
      <c r="J468" s="20"/>
      <c r="K468" s="2"/>
      <c r="L468" s="20"/>
      <c r="M468" s="20"/>
      <c r="N468" s="101">
        <f t="shared" si="17"/>
        <v>2500000</v>
      </c>
      <c r="O468" s="612" t="s">
        <v>3494</v>
      </c>
    </row>
    <row r="469" spans="1:15" hidden="1" x14ac:dyDescent="0.25">
      <c r="A469" s="426">
        <f t="shared" si="18"/>
        <v>460</v>
      </c>
      <c r="B469" s="434" t="s">
        <v>434</v>
      </c>
      <c r="C469" s="398" t="s">
        <v>3440</v>
      </c>
      <c r="D469" s="441">
        <v>44518</v>
      </c>
      <c r="E469" s="441">
        <v>44553</v>
      </c>
      <c r="F469" s="455">
        <v>15500000</v>
      </c>
      <c r="G469" s="454">
        <v>17000000</v>
      </c>
      <c r="H469" s="573" t="s">
        <v>3535</v>
      </c>
      <c r="I469" s="94"/>
      <c r="J469" s="94"/>
      <c r="K469" s="3"/>
      <c r="L469" s="94"/>
      <c r="M469" s="94"/>
      <c r="N469" s="101">
        <f t="shared" si="17"/>
        <v>1500000</v>
      </c>
      <c r="O469" s="619" t="s">
        <v>3545</v>
      </c>
    </row>
    <row r="470" spans="1:15" hidden="1" x14ac:dyDescent="0.25">
      <c r="A470" s="428">
        <f t="shared" si="18"/>
        <v>461</v>
      </c>
      <c r="B470" s="76" t="s">
        <v>309</v>
      </c>
      <c r="C470" s="346" t="s">
        <v>3538</v>
      </c>
      <c r="D470" s="439">
        <v>44543</v>
      </c>
      <c r="E470" s="441">
        <v>44558</v>
      </c>
      <c r="F470" s="450">
        <v>14625000</v>
      </c>
      <c r="G470" s="452">
        <v>15850000</v>
      </c>
      <c r="H470" s="573" t="s">
        <v>3535</v>
      </c>
      <c r="I470" s="20"/>
      <c r="J470" s="20"/>
      <c r="K470" s="2"/>
      <c r="L470" s="20"/>
      <c r="M470" s="20"/>
      <c r="N470" s="101">
        <f t="shared" si="17"/>
        <v>1225000</v>
      </c>
      <c r="O470" s="564" t="s">
        <v>3611</v>
      </c>
    </row>
    <row r="471" spans="1:15" hidden="1" x14ac:dyDescent="0.25">
      <c r="A471" s="428">
        <f t="shared" si="18"/>
        <v>462</v>
      </c>
      <c r="B471" s="76" t="s">
        <v>309</v>
      </c>
      <c r="C471" s="346" t="s">
        <v>3539</v>
      </c>
      <c r="D471" s="439">
        <v>44543</v>
      </c>
      <c r="E471" s="441">
        <v>44923</v>
      </c>
      <c r="F471" s="450">
        <v>14625000</v>
      </c>
      <c r="G471" s="452">
        <v>15250000</v>
      </c>
      <c r="H471" s="573" t="s">
        <v>3535</v>
      </c>
      <c r="I471" s="20"/>
      <c r="J471" s="85"/>
      <c r="K471" s="2"/>
      <c r="L471" s="20"/>
      <c r="M471" s="20"/>
      <c r="N471" s="101">
        <f t="shared" si="17"/>
        <v>625000</v>
      </c>
      <c r="O471" s="626" t="s">
        <v>3649</v>
      </c>
    </row>
    <row r="472" spans="1:15" hidden="1" x14ac:dyDescent="0.25">
      <c r="A472" s="428">
        <f t="shared" si="18"/>
        <v>463</v>
      </c>
      <c r="B472" s="76" t="s">
        <v>309</v>
      </c>
      <c r="C472" s="346" t="s">
        <v>3540</v>
      </c>
      <c r="D472" s="439">
        <v>44543</v>
      </c>
      <c r="E472" s="441">
        <v>44835</v>
      </c>
      <c r="F472" s="450">
        <v>14725000</v>
      </c>
      <c r="G472" s="452">
        <v>15450000</v>
      </c>
      <c r="H472" s="573" t="s">
        <v>17</v>
      </c>
      <c r="I472" s="20"/>
      <c r="J472" s="20"/>
      <c r="K472" s="2"/>
      <c r="L472" s="20"/>
      <c r="M472" s="20"/>
      <c r="N472" s="101">
        <f t="shared" si="17"/>
        <v>725000</v>
      </c>
      <c r="O472" s="719" t="s">
        <v>4669</v>
      </c>
    </row>
    <row r="473" spans="1:15" hidden="1" x14ac:dyDescent="0.25">
      <c r="A473" s="428">
        <f t="shared" si="18"/>
        <v>464</v>
      </c>
      <c r="B473" s="76" t="s">
        <v>309</v>
      </c>
      <c r="C473" s="346" t="s">
        <v>3541</v>
      </c>
      <c r="D473" s="439">
        <v>44543</v>
      </c>
      <c r="E473" s="441">
        <v>44916</v>
      </c>
      <c r="F473" s="450">
        <v>14625000</v>
      </c>
      <c r="G473" s="452">
        <v>15250000</v>
      </c>
      <c r="H473" s="573" t="s">
        <v>3535</v>
      </c>
      <c r="I473" s="20"/>
      <c r="J473" s="20"/>
      <c r="K473" s="2"/>
      <c r="L473" s="20"/>
      <c r="M473" s="20"/>
      <c r="N473" s="101">
        <f t="shared" si="17"/>
        <v>625000</v>
      </c>
      <c r="O473" s="622" t="s">
        <v>3647</v>
      </c>
    </row>
    <row r="474" spans="1:15" hidden="1" x14ac:dyDescent="0.25">
      <c r="A474" s="428">
        <f t="shared" si="18"/>
        <v>465</v>
      </c>
      <c r="B474" s="76" t="s">
        <v>309</v>
      </c>
      <c r="C474" s="346" t="s">
        <v>3542</v>
      </c>
      <c r="D474" s="439">
        <v>44543</v>
      </c>
      <c r="E474" s="441">
        <v>44546</v>
      </c>
      <c r="F474" s="450">
        <v>14625000</v>
      </c>
      <c r="G474" s="452">
        <v>16250000</v>
      </c>
      <c r="H474" s="573" t="s">
        <v>3535</v>
      </c>
      <c r="I474" s="20"/>
      <c r="J474" s="20"/>
      <c r="K474" s="2"/>
      <c r="L474" s="20"/>
      <c r="M474" s="20"/>
      <c r="N474" s="101">
        <f t="shared" si="17"/>
        <v>1625000</v>
      </c>
      <c r="O474" s="617" t="s">
        <v>3544</v>
      </c>
    </row>
    <row r="475" spans="1:15" hidden="1" x14ac:dyDescent="0.25">
      <c r="A475" s="426">
        <f t="shared" si="18"/>
        <v>466</v>
      </c>
      <c r="B475" s="434" t="s">
        <v>309</v>
      </c>
      <c r="C475" s="398" t="s">
        <v>3543</v>
      </c>
      <c r="D475" s="441">
        <v>44543</v>
      </c>
      <c r="E475" s="441">
        <v>44554</v>
      </c>
      <c r="F475" s="455">
        <v>14625000</v>
      </c>
      <c r="G475" s="452">
        <v>15600000</v>
      </c>
      <c r="H475" s="573" t="s">
        <v>3535</v>
      </c>
      <c r="I475" s="94"/>
      <c r="J475" s="94"/>
      <c r="K475" s="3"/>
      <c r="L475" s="94"/>
      <c r="M475" s="94"/>
      <c r="N475" s="101">
        <f t="shared" si="17"/>
        <v>975000</v>
      </c>
      <c r="O475" s="619" t="s">
        <v>3545</v>
      </c>
    </row>
    <row r="476" spans="1:15" hidden="1" x14ac:dyDescent="0.25">
      <c r="A476" s="428">
        <f t="shared" si="18"/>
        <v>467</v>
      </c>
      <c r="B476" s="434" t="s">
        <v>434</v>
      </c>
      <c r="C476" s="346" t="s">
        <v>3546</v>
      </c>
      <c r="D476" s="439">
        <v>44548</v>
      </c>
      <c r="E476" s="441">
        <v>44552</v>
      </c>
      <c r="F476" s="450">
        <v>16000000</v>
      </c>
      <c r="G476" s="452">
        <v>17900000</v>
      </c>
      <c r="H476" s="573" t="s">
        <v>3535</v>
      </c>
      <c r="I476" s="20"/>
      <c r="J476" s="20"/>
      <c r="K476" s="2"/>
      <c r="L476" s="20"/>
      <c r="M476" s="20"/>
      <c r="N476" s="101">
        <f t="shared" si="17"/>
        <v>1900000</v>
      </c>
      <c r="O476" s="619" t="s">
        <v>3545</v>
      </c>
    </row>
    <row r="477" spans="1:15" hidden="1" x14ac:dyDescent="0.25">
      <c r="A477" s="428">
        <f t="shared" si="18"/>
        <v>468</v>
      </c>
      <c r="B477" s="434" t="s">
        <v>434</v>
      </c>
      <c r="C477" s="346" t="s">
        <v>3547</v>
      </c>
      <c r="D477" s="439">
        <v>44548</v>
      </c>
      <c r="E477" s="441">
        <v>44550</v>
      </c>
      <c r="F477" s="450">
        <v>16000000</v>
      </c>
      <c r="G477" s="452">
        <v>17000000</v>
      </c>
      <c r="H477" s="573" t="s">
        <v>3535</v>
      </c>
      <c r="I477" s="20"/>
      <c r="J477" s="20"/>
      <c r="K477" s="2"/>
      <c r="L477" s="20"/>
      <c r="M477" s="20"/>
      <c r="N477" s="101">
        <f t="shared" si="17"/>
        <v>1000000</v>
      </c>
      <c r="O477" s="619" t="s">
        <v>3545</v>
      </c>
    </row>
    <row r="478" spans="1:15" hidden="1" x14ac:dyDescent="0.25">
      <c r="A478" s="428">
        <f t="shared" si="18"/>
        <v>469</v>
      </c>
      <c r="B478" s="434" t="s">
        <v>434</v>
      </c>
      <c r="C478" s="346" t="s">
        <v>3548</v>
      </c>
      <c r="D478" s="439">
        <v>44548</v>
      </c>
      <c r="E478" s="441">
        <v>44551</v>
      </c>
      <c r="F478" s="450">
        <v>16000000</v>
      </c>
      <c r="G478" s="452">
        <v>17250000</v>
      </c>
      <c r="H478" s="573" t="s">
        <v>3535</v>
      </c>
      <c r="I478" s="20"/>
      <c r="J478" s="85"/>
      <c r="K478" s="2"/>
      <c r="L478" s="20"/>
      <c r="M478" s="20"/>
      <c r="N478" s="101">
        <f t="shared" si="17"/>
        <v>1250000</v>
      </c>
      <c r="O478" s="619" t="s">
        <v>3545</v>
      </c>
    </row>
    <row r="479" spans="1:15" hidden="1" x14ac:dyDescent="0.25">
      <c r="A479" s="428">
        <f t="shared" si="18"/>
        <v>470</v>
      </c>
      <c r="B479" s="434" t="s">
        <v>434</v>
      </c>
      <c r="C479" s="346" t="s">
        <v>3549</v>
      </c>
      <c r="D479" s="439">
        <v>44548</v>
      </c>
      <c r="E479" s="441">
        <v>44553</v>
      </c>
      <c r="F479" s="450">
        <v>16000000</v>
      </c>
      <c r="G479" s="452">
        <v>16900000</v>
      </c>
      <c r="H479" s="573" t="s">
        <v>3535</v>
      </c>
      <c r="I479" s="20"/>
      <c r="J479" s="20"/>
      <c r="K479" s="2"/>
      <c r="L479" s="20"/>
      <c r="M479" s="20"/>
      <c r="N479" s="101">
        <f t="shared" si="17"/>
        <v>900000</v>
      </c>
      <c r="O479" s="619" t="s">
        <v>3545</v>
      </c>
    </row>
    <row r="480" spans="1:15" hidden="1" x14ac:dyDescent="0.25">
      <c r="A480" s="426">
        <f t="shared" si="18"/>
        <v>471</v>
      </c>
      <c r="B480" s="434" t="s">
        <v>434</v>
      </c>
      <c r="C480" s="398" t="s">
        <v>3550</v>
      </c>
      <c r="D480" s="441">
        <v>44548</v>
      </c>
      <c r="E480" s="441">
        <v>44551</v>
      </c>
      <c r="F480" s="455">
        <v>16000000</v>
      </c>
      <c r="G480" s="454">
        <v>18450000</v>
      </c>
      <c r="H480" s="573" t="s">
        <v>3535</v>
      </c>
      <c r="I480" s="94"/>
      <c r="J480" s="94"/>
      <c r="K480" s="3"/>
      <c r="L480" s="94"/>
      <c r="M480" s="94"/>
      <c r="N480" s="101">
        <f t="shared" si="17"/>
        <v>2450000</v>
      </c>
      <c r="O480" s="619" t="s">
        <v>3545</v>
      </c>
    </row>
    <row r="481" spans="1:15" hidden="1" x14ac:dyDescent="0.25">
      <c r="A481" s="428">
        <f t="shared" si="18"/>
        <v>472</v>
      </c>
      <c r="B481" s="76" t="s">
        <v>28</v>
      </c>
      <c r="C481" s="346" t="s">
        <v>3648</v>
      </c>
      <c r="D481" s="439">
        <v>44581</v>
      </c>
      <c r="E481" s="441">
        <v>44600</v>
      </c>
      <c r="F481" s="450">
        <v>13000000</v>
      </c>
      <c r="G481" s="452">
        <v>14600000</v>
      </c>
      <c r="H481" s="573" t="s">
        <v>17</v>
      </c>
      <c r="I481" s="20"/>
      <c r="J481" s="20"/>
      <c r="K481" s="2"/>
      <c r="L481" s="20"/>
      <c r="M481" s="20"/>
      <c r="N481" s="101">
        <f t="shared" si="17"/>
        <v>1600000</v>
      </c>
      <c r="O481" s="630" t="s">
        <v>3736</v>
      </c>
    </row>
    <row r="482" spans="1:15" hidden="1" x14ac:dyDescent="0.25">
      <c r="A482" s="428">
        <f t="shared" si="18"/>
        <v>473</v>
      </c>
      <c r="B482" s="76" t="s">
        <v>28</v>
      </c>
      <c r="C482" s="346" t="s">
        <v>3702</v>
      </c>
      <c r="D482" s="439">
        <v>44915</v>
      </c>
      <c r="E482" s="441">
        <v>44918</v>
      </c>
      <c r="F482" s="450">
        <v>12250000</v>
      </c>
      <c r="G482" s="452">
        <v>12750000</v>
      </c>
      <c r="H482" s="573" t="s">
        <v>3535</v>
      </c>
      <c r="I482" s="20"/>
      <c r="J482" s="20"/>
      <c r="K482" s="2"/>
      <c r="L482" s="20"/>
      <c r="M482" s="20"/>
      <c r="N482" s="101">
        <f t="shared" si="17"/>
        <v>500000</v>
      </c>
      <c r="O482" s="622" t="s">
        <v>3647</v>
      </c>
    </row>
    <row r="483" spans="1:15" hidden="1" x14ac:dyDescent="0.25">
      <c r="A483" s="428">
        <f t="shared" si="18"/>
        <v>474</v>
      </c>
      <c r="B483" s="76" t="s">
        <v>28</v>
      </c>
      <c r="C483" s="346" t="s">
        <v>3659</v>
      </c>
      <c r="D483" s="439">
        <v>44581</v>
      </c>
      <c r="E483" s="441">
        <v>44921</v>
      </c>
      <c r="F483" s="450">
        <v>12250000</v>
      </c>
      <c r="G483" s="452">
        <v>12500000</v>
      </c>
      <c r="H483" s="573" t="s">
        <v>3535</v>
      </c>
      <c r="I483" s="20">
        <f>7500000+400000+600000</f>
        <v>8500000</v>
      </c>
      <c r="J483" s="85">
        <f>G483-I483</f>
        <v>4000000</v>
      </c>
      <c r="K483" s="2" t="s">
        <v>3737</v>
      </c>
      <c r="L483" s="20"/>
      <c r="M483" s="20"/>
      <c r="N483" s="101">
        <f t="shared" si="17"/>
        <v>250000</v>
      </c>
      <c r="O483" s="626" t="s">
        <v>3649</v>
      </c>
    </row>
    <row r="484" spans="1:15" hidden="1" x14ac:dyDescent="0.25">
      <c r="A484" s="428">
        <f t="shared" si="18"/>
        <v>475</v>
      </c>
      <c r="B484" s="76" t="s">
        <v>28</v>
      </c>
      <c r="C484" s="346" t="s">
        <v>3658</v>
      </c>
      <c r="D484" s="439">
        <v>44581</v>
      </c>
      <c r="E484" s="441">
        <v>44922</v>
      </c>
      <c r="F484" s="450">
        <v>12250000</v>
      </c>
      <c r="G484" s="452">
        <v>14500000</v>
      </c>
      <c r="H484" s="573" t="s">
        <v>3535</v>
      </c>
      <c r="I484" s="20"/>
      <c r="J484" s="20"/>
      <c r="K484" s="2"/>
      <c r="L484" s="20"/>
      <c r="M484" s="20"/>
      <c r="N484" s="101">
        <f t="shared" si="17"/>
        <v>2250000</v>
      </c>
      <c r="O484" s="626" t="s">
        <v>3649</v>
      </c>
    </row>
    <row r="485" spans="1:15" hidden="1" x14ac:dyDescent="0.25">
      <c r="A485" s="428">
        <f t="shared" si="18"/>
        <v>476</v>
      </c>
      <c r="B485" s="76" t="s">
        <v>28</v>
      </c>
      <c r="C485" s="346" t="s">
        <v>3661</v>
      </c>
      <c r="D485" s="439">
        <v>44581</v>
      </c>
      <c r="E485" s="441">
        <v>44599</v>
      </c>
      <c r="F485" s="450">
        <v>12250000</v>
      </c>
      <c r="G485" s="452">
        <v>14250000</v>
      </c>
      <c r="H485" s="573" t="s">
        <v>17</v>
      </c>
      <c r="I485" s="20"/>
      <c r="J485" s="20"/>
      <c r="K485" s="2"/>
      <c r="L485" s="20"/>
      <c r="M485" s="20"/>
      <c r="N485" s="101">
        <f t="shared" si="17"/>
        <v>2000000</v>
      </c>
      <c r="O485" s="630" t="s">
        <v>3736</v>
      </c>
    </row>
    <row r="486" spans="1:15" hidden="1" x14ac:dyDescent="0.25">
      <c r="A486" s="428">
        <f t="shared" si="18"/>
        <v>477</v>
      </c>
      <c r="B486" s="76" t="s">
        <v>28</v>
      </c>
      <c r="C486" s="346" t="s">
        <v>3662</v>
      </c>
      <c r="D486" s="439">
        <v>44581</v>
      </c>
      <c r="E486" s="441">
        <v>44921</v>
      </c>
      <c r="F486" s="450">
        <v>12250000</v>
      </c>
      <c r="G486" s="452">
        <v>14150000</v>
      </c>
      <c r="H486" s="573" t="s">
        <v>3535</v>
      </c>
      <c r="I486" s="20"/>
      <c r="J486" s="20"/>
      <c r="K486" s="2"/>
      <c r="L486" s="20"/>
      <c r="M486" s="20"/>
      <c r="N486" s="101">
        <f t="shared" si="17"/>
        <v>1900000</v>
      </c>
      <c r="O486" s="626" t="s">
        <v>3649</v>
      </c>
    </row>
    <row r="487" spans="1:15" hidden="1" x14ac:dyDescent="0.25">
      <c r="A487" s="428">
        <f t="shared" si="18"/>
        <v>478</v>
      </c>
      <c r="B487" s="76" t="s">
        <v>434</v>
      </c>
      <c r="C487" s="346" t="s">
        <v>3657</v>
      </c>
      <c r="D487" s="439">
        <v>44584</v>
      </c>
      <c r="E487" s="441">
        <v>44608</v>
      </c>
      <c r="F487" s="450">
        <v>15000000</v>
      </c>
      <c r="G487" s="452">
        <v>16750000</v>
      </c>
      <c r="H487" s="573" t="s">
        <v>17</v>
      </c>
      <c r="I487" s="20"/>
      <c r="J487" s="85"/>
      <c r="K487" s="2"/>
      <c r="L487" s="20"/>
      <c r="M487" s="20"/>
      <c r="N487" s="101">
        <f t="shared" si="17"/>
        <v>1750000</v>
      </c>
      <c r="O487" s="564" t="s">
        <v>3739</v>
      </c>
    </row>
    <row r="488" spans="1:15" hidden="1" x14ac:dyDescent="0.25">
      <c r="A488" s="428">
        <f t="shared" si="18"/>
        <v>479</v>
      </c>
      <c r="B488" s="76" t="s">
        <v>434</v>
      </c>
      <c r="C488" s="346" t="s">
        <v>3652</v>
      </c>
      <c r="D488" s="439">
        <v>44584</v>
      </c>
      <c r="E488" s="441">
        <v>44595</v>
      </c>
      <c r="F488" s="450">
        <v>15000000</v>
      </c>
      <c r="G488" s="452">
        <v>17050000</v>
      </c>
      <c r="H488" s="573" t="s">
        <v>3535</v>
      </c>
      <c r="I488" s="94"/>
      <c r="J488" s="94"/>
      <c r="K488" s="3"/>
      <c r="L488" s="94"/>
      <c r="M488" s="94"/>
      <c r="N488" s="101">
        <f t="shared" si="17"/>
        <v>2050000</v>
      </c>
      <c r="O488" s="628" t="s">
        <v>3733</v>
      </c>
    </row>
    <row r="489" spans="1:15" hidden="1" x14ac:dyDescent="0.25">
      <c r="A489" s="428">
        <f t="shared" si="18"/>
        <v>480</v>
      </c>
      <c r="B489" s="76" t="s">
        <v>434</v>
      </c>
      <c r="C489" s="346" t="s">
        <v>3653</v>
      </c>
      <c r="D489" s="441">
        <v>44918</v>
      </c>
      <c r="E489" s="441">
        <v>44918</v>
      </c>
      <c r="F489" s="450">
        <v>15100000</v>
      </c>
      <c r="G489" s="452">
        <v>16500000</v>
      </c>
      <c r="H489" s="573" t="s">
        <v>3535</v>
      </c>
      <c r="I489" s="20"/>
      <c r="J489" s="20"/>
      <c r="K489" s="2"/>
      <c r="L489" s="20"/>
      <c r="M489" s="20"/>
      <c r="N489" s="101">
        <f t="shared" si="17"/>
        <v>1400000</v>
      </c>
      <c r="O489" s="622" t="s">
        <v>3647</v>
      </c>
    </row>
    <row r="490" spans="1:15" hidden="1" x14ac:dyDescent="0.25">
      <c r="A490" s="428">
        <f t="shared" si="18"/>
        <v>481</v>
      </c>
      <c r="B490" s="76" t="s">
        <v>434</v>
      </c>
      <c r="C490" s="346" t="s">
        <v>3654</v>
      </c>
      <c r="D490" s="439">
        <v>44584</v>
      </c>
      <c r="E490" s="441">
        <v>44924</v>
      </c>
      <c r="F490" s="450">
        <v>15100000</v>
      </c>
      <c r="G490" s="452">
        <v>17000000</v>
      </c>
      <c r="H490" s="573" t="s">
        <v>3535</v>
      </c>
      <c r="I490" s="20"/>
      <c r="J490" s="20"/>
      <c r="K490" s="2"/>
      <c r="L490" s="20"/>
      <c r="M490" s="20"/>
      <c r="N490" s="101">
        <f t="shared" si="17"/>
        <v>1900000</v>
      </c>
      <c r="O490" s="626" t="s">
        <v>3649</v>
      </c>
    </row>
    <row r="491" spans="1:15" hidden="1" x14ac:dyDescent="0.25">
      <c r="A491" s="428">
        <f t="shared" si="18"/>
        <v>482</v>
      </c>
      <c r="B491" s="76" t="s">
        <v>434</v>
      </c>
      <c r="C491" s="346" t="s">
        <v>3655</v>
      </c>
      <c r="D491" s="439">
        <v>44584</v>
      </c>
      <c r="E491" s="441">
        <v>44920</v>
      </c>
      <c r="F491" s="450">
        <v>15100000</v>
      </c>
      <c r="G491" s="452">
        <v>16750000</v>
      </c>
      <c r="H491" s="573" t="s">
        <v>3535</v>
      </c>
      <c r="I491" s="20"/>
      <c r="J491" s="20"/>
      <c r="K491" s="2"/>
      <c r="L491" s="20"/>
      <c r="M491" s="20"/>
      <c r="N491" s="101">
        <f t="shared" si="17"/>
        <v>1650000</v>
      </c>
      <c r="O491" s="626" t="s">
        <v>3649</v>
      </c>
    </row>
    <row r="492" spans="1:15" hidden="1" x14ac:dyDescent="0.25">
      <c r="A492" s="428">
        <f t="shared" si="18"/>
        <v>483</v>
      </c>
      <c r="B492" s="76" t="s">
        <v>434</v>
      </c>
      <c r="C492" s="346" t="s">
        <v>3656</v>
      </c>
      <c r="D492" s="439">
        <v>44584</v>
      </c>
      <c r="E492" s="441">
        <v>44595</v>
      </c>
      <c r="F492" s="450">
        <v>15100000</v>
      </c>
      <c r="G492" s="452">
        <v>16750000</v>
      </c>
      <c r="H492" s="573" t="s">
        <v>3535</v>
      </c>
      <c r="I492" s="20"/>
      <c r="J492" s="20"/>
      <c r="K492" s="2"/>
      <c r="L492" s="20"/>
      <c r="M492" s="20"/>
      <c r="N492" s="101">
        <f t="shared" si="17"/>
        <v>1650000</v>
      </c>
      <c r="O492" s="628" t="s">
        <v>3733</v>
      </c>
    </row>
    <row r="493" spans="1:15" hidden="1" x14ac:dyDescent="0.25">
      <c r="A493" s="428">
        <f t="shared" si="18"/>
        <v>484</v>
      </c>
      <c r="B493" s="76" t="s">
        <v>434</v>
      </c>
      <c r="C493" s="346" t="s">
        <v>3703</v>
      </c>
      <c r="D493" s="439">
        <v>44584</v>
      </c>
      <c r="E493" s="441">
        <v>44920</v>
      </c>
      <c r="F493" s="450">
        <v>15100000</v>
      </c>
      <c r="G493" s="452">
        <v>18250000</v>
      </c>
      <c r="H493" s="573" t="s">
        <v>3535</v>
      </c>
      <c r="I493" s="20"/>
      <c r="J493" s="20"/>
      <c r="K493" s="2"/>
      <c r="L493" s="20"/>
      <c r="M493" s="20"/>
      <c r="N493" s="101">
        <f t="shared" si="17"/>
        <v>3150000</v>
      </c>
      <c r="O493" s="626" t="s">
        <v>3649</v>
      </c>
    </row>
    <row r="494" spans="1:15" hidden="1" x14ac:dyDescent="0.25">
      <c r="A494" s="428">
        <f t="shared" si="18"/>
        <v>485</v>
      </c>
      <c r="B494" s="76" t="s">
        <v>434</v>
      </c>
      <c r="C494" s="346" t="s">
        <v>3660</v>
      </c>
      <c r="D494" s="439">
        <v>44584</v>
      </c>
      <c r="E494" s="441">
        <v>44923</v>
      </c>
      <c r="F494" s="450">
        <v>15100000</v>
      </c>
      <c r="G494" s="452">
        <v>16750000</v>
      </c>
      <c r="H494" s="573" t="s">
        <v>3535</v>
      </c>
      <c r="I494" s="20"/>
      <c r="J494" s="20"/>
      <c r="K494" s="2"/>
      <c r="L494" s="20"/>
      <c r="M494" s="20"/>
      <c r="N494" s="101">
        <f t="shared" si="17"/>
        <v>1650000</v>
      </c>
      <c r="O494" s="626" t="s">
        <v>3649</v>
      </c>
    </row>
    <row r="495" spans="1:15" hidden="1" x14ac:dyDescent="0.25">
      <c r="A495" s="428">
        <f t="shared" si="18"/>
        <v>486</v>
      </c>
      <c r="B495" s="434" t="s">
        <v>434</v>
      </c>
      <c r="C495" s="398" t="s">
        <v>3651</v>
      </c>
      <c r="D495" s="439">
        <v>44584</v>
      </c>
      <c r="E495" s="441">
        <v>44914</v>
      </c>
      <c r="F495" s="455">
        <v>15100000</v>
      </c>
      <c r="G495" s="454">
        <v>16050000</v>
      </c>
      <c r="H495" s="573" t="s">
        <v>17</v>
      </c>
      <c r="I495" s="94"/>
      <c r="J495" s="94"/>
      <c r="K495" s="3"/>
      <c r="L495" s="94"/>
      <c r="M495" s="94"/>
      <c r="N495" s="101">
        <f t="shared" si="17"/>
        <v>950000</v>
      </c>
      <c r="O495" s="564" t="s">
        <v>3739</v>
      </c>
    </row>
    <row r="496" spans="1:15" hidden="1" x14ac:dyDescent="0.25">
      <c r="A496" s="426">
        <f t="shared" si="18"/>
        <v>487</v>
      </c>
      <c r="B496" s="434" t="s">
        <v>28</v>
      </c>
      <c r="C496" s="398" t="s">
        <v>3734</v>
      </c>
      <c r="D496" s="441">
        <v>44590</v>
      </c>
      <c r="E496" s="441">
        <v>44595</v>
      </c>
      <c r="F496" s="455">
        <v>11250000</v>
      </c>
      <c r="G496" s="454">
        <v>13250000</v>
      </c>
      <c r="H496" s="573" t="s">
        <v>3535</v>
      </c>
      <c r="I496" s="94"/>
      <c r="J496" s="94"/>
      <c r="K496" s="3"/>
      <c r="L496" s="94"/>
      <c r="M496" s="94"/>
      <c r="N496" s="101">
        <f t="shared" si="17"/>
        <v>2000000</v>
      </c>
      <c r="O496" s="628" t="s">
        <v>3733</v>
      </c>
    </row>
    <row r="497" spans="1:15" hidden="1" x14ac:dyDescent="0.25">
      <c r="A497" s="428">
        <f t="shared" si="18"/>
        <v>488</v>
      </c>
      <c r="B497" s="434" t="s">
        <v>434</v>
      </c>
      <c r="C497" s="346" t="s">
        <v>3816</v>
      </c>
      <c r="D497" s="439">
        <v>44620</v>
      </c>
      <c r="E497" s="441">
        <v>44898</v>
      </c>
      <c r="F497" s="450">
        <v>16100000</v>
      </c>
      <c r="G497" s="452">
        <v>18250000</v>
      </c>
      <c r="H497" s="573" t="s">
        <v>17</v>
      </c>
      <c r="I497" s="20"/>
      <c r="J497" s="20"/>
      <c r="K497" s="2"/>
      <c r="L497" s="20"/>
      <c r="M497" s="20"/>
      <c r="N497" s="101">
        <f t="shared" si="17"/>
        <v>2150000</v>
      </c>
      <c r="O497" s="642" t="s">
        <v>3835</v>
      </c>
    </row>
    <row r="498" spans="1:15" hidden="1" x14ac:dyDescent="0.25">
      <c r="A498" s="428">
        <f t="shared" si="18"/>
        <v>489</v>
      </c>
      <c r="B498" s="434" t="s">
        <v>434</v>
      </c>
      <c r="C498" s="346" t="s">
        <v>3818</v>
      </c>
      <c r="D498" s="439">
        <v>44620</v>
      </c>
      <c r="E498" s="441">
        <v>44620</v>
      </c>
      <c r="F498" s="450">
        <v>16100000</v>
      </c>
      <c r="G498" s="452">
        <v>18500000</v>
      </c>
      <c r="H498" s="573" t="s">
        <v>17</v>
      </c>
      <c r="I498" s="20"/>
      <c r="J498" s="20"/>
      <c r="K498" s="2"/>
      <c r="L498" s="20"/>
      <c r="M498" s="20"/>
      <c r="N498" s="101">
        <f t="shared" ref="N498:N561" si="19">G498-F498</f>
        <v>2400000</v>
      </c>
      <c r="O498" s="640" t="s">
        <v>3815</v>
      </c>
    </row>
    <row r="499" spans="1:15" hidden="1" x14ac:dyDescent="0.25">
      <c r="A499" s="428">
        <f t="shared" si="18"/>
        <v>490</v>
      </c>
      <c r="B499" s="434" t="s">
        <v>434</v>
      </c>
      <c r="C499" s="346" t="s">
        <v>3819</v>
      </c>
      <c r="D499" s="439">
        <v>44620</v>
      </c>
      <c r="E499" s="441">
        <v>44595</v>
      </c>
      <c r="F499" s="450">
        <v>16100000</v>
      </c>
      <c r="G499" s="452">
        <v>18000000</v>
      </c>
      <c r="H499" s="573" t="s">
        <v>17</v>
      </c>
      <c r="I499" s="20"/>
      <c r="J499" s="85"/>
      <c r="K499" s="2"/>
      <c r="L499" s="20"/>
      <c r="M499" s="20"/>
      <c r="N499" s="101">
        <f t="shared" si="19"/>
        <v>1900000</v>
      </c>
      <c r="O499" s="642" t="s">
        <v>3835</v>
      </c>
    </row>
    <row r="500" spans="1:15" hidden="1" x14ac:dyDescent="0.25">
      <c r="A500" s="428">
        <f t="shared" si="18"/>
        <v>491</v>
      </c>
      <c r="B500" s="434" t="s">
        <v>434</v>
      </c>
      <c r="C500" s="346" t="s">
        <v>3820</v>
      </c>
      <c r="D500" s="439">
        <v>44620</v>
      </c>
      <c r="E500" s="441">
        <v>44632</v>
      </c>
      <c r="F500" s="450">
        <v>16000000</v>
      </c>
      <c r="G500" s="452">
        <v>17650000</v>
      </c>
      <c r="H500" s="573" t="s">
        <v>17</v>
      </c>
      <c r="I500" s="20"/>
      <c r="J500" s="20"/>
      <c r="K500" s="2"/>
      <c r="L500" s="20"/>
      <c r="M500" s="20"/>
      <c r="N500" s="101">
        <f t="shared" si="19"/>
        <v>1650000</v>
      </c>
      <c r="O500" s="644" t="s">
        <v>3837</v>
      </c>
    </row>
    <row r="501" spans="1:15" hidden="1" x14ac:dyDescent="0.25">
      <c r="A501" s="428">
        <f t="shared" si="18"/>
        <v>492</v>
      </c>
      <c r="B501" s="434" t="s">
        <v>434</v>
      </c>
      <c r="C501" s="346" t="s">
        <v>3821</v>
      </c>
      <c r="D501" s="439">
        <v>44620</v>
      </c>
      <c r="E501" s="441">
        <v>44632</v>
      </c>
      <c r="F501" s="450">
        <v>16100000</v>
      </c>
      <c r="G501" s="452">
        <v>17500000</v>
      </c>
      <c r="H501" s="573" t="s">
        <v>17</v>
      </c>
      <c r="I501" s="20"/>
      <c r="J501" s="20"/>
      <c r="K501" s="2"/>
      <c r="L501" s="20"/>
      <c r="M501" s="20"/>
      <c r="N501" s="101">
        <f t="shared" si="19"/>
        <v>1400000</v>
      </c>
      <c r="O501" s="644" t="s">
        <v>3837</v>
      </c>
    </row>
    <row r="502" spans="1:15" x14ac:dyDescent="0.25">
      <c r="A502" s="428">
        <f t="shared" si="18"/>
        <v>493</v>
      </c>
      <c r="B502" s="434" t="s">
        <v>434</v>
      </c>
      <c r="C502" s="346" t="s">
        <v>3822</v>
      </c>
      <c r="D502" s="439">
        <v>44620</v>
      </c>
      <c r="E502" s="692" t="s">
        <v>379</v>
      </c>
      <c r="F502" s="450">
        <v>5500000</v>
      </c>
      <c r="G502" s="450">
        <v>5500000</v>
      </c>
      <c r="H502" s="693" t="s">
        <v>4274</v>
      </c>
      <c r="I502" s="20"/>
      <c r="J502" s="20"/>
      <c r="K502" s="2"/>
      <c r="L502" s="20"/>
      <c r="M502" s="20"/>
      <c r="N502" s="101">
        <f t="shared" si="19"/>
        <v>0</v>
      </c>
      <c r="O502" s="604"/>
    </row>
    <row r="503" spans="1:15" hidden="1" x14ac:dyDescent="0.25">
      <c r="A503" s="428">
        <f t="shared" ref="A503:A566" si="20">A502+1</f>
        <v>494</v>
      </c>
      <c r="B503" s="434" t="s">
        <v>434</v>
      </c>
      <c r="C503" s="346" t="s">
        <v>3823</v>
      </c>
      <c r="D503" s="439">
        <v>44620</v>
      </c>
      <c r="E503" s="439">
        <v>44667</v>
      </c>
      <c r="F503" s="450">
        <v>16100000</v>
      </c>
      <c r="G503" s="452">
        <v>18500000</v>
      </c>
      <c r="H503" s="573" t="s">
        <v>3535</v>
      </c>
      <c r="I503" s="20"/>
      <c r="J503" s="20"/>
      <c r="K503" s="2"/>
      <c r="L503" s="20"/>
      <c r="M503" s="20"/>
      <c r="N503" s="101">
        <f t="shared" si="19"/>
        <v>2400000</v>
      </c>
      <c r="O503" s="653" t="s">
        <v>3920</v>
      </c>
    </row>
    <row r="504" spans="1:15" hidden="1" x14ac:dyDescent="0.25">
      <c r="A504" s="428">
        <f t="shared" si="20"/>
        <v>495</v>
      </c>
      <c r="B504" s="434" t="s">
        <v>434</v>
      </c>
      <c r="C504" s="346" t="s">
        <v>3824</v>
      </c>
      <c r="D504" s="439">
        <v>44620</v>
      </c>
      <c r="E504" s="441">
        <v>44651</v>
      </c>
      <c r="F504" s="450">
        <v>16100000</v>
      </c>
      <c r="G504" s="452">
        <v>17250000</v>
      </c>
      <c r="H504" s="573" t="s">
        <v>3535</v>
      </c>
      <c r="I504" s="20"/>
      <c r="J504" s="20"/>
      <c r="K504" s="2"/>
      <c r="L504" s="20"/>
      <c r="M504" s="20"/>
      <c r="N504" s="101">
        <f t="shared" si="19"/>
        <v>1150000</v>
      </c>
      <c r="O504" s="651" t="s">
        <v>3908</v>
      </c>
    </row>
    <row r="505" spans="1:15" hidden="1" x14ac:dyDescent="0.25">
      <c r="A505" s="428">
        <f t="shared" si="20"/>
        <v>496</v>
      </c>
      <c r="B505" s="434" t="s">
        <v>434</v>
      </c>
      <c r="C505" s="346" t="s">
        <v>3825</v>
      </c>
      <c r="D505" s="439">
        <v>44620</v>
      </c>
      <c r="E505" s="441">
        <v>44646</v>
      </c>
      <c r="F505" s="450">
        <v>16100000</v>
      </c>
      <c r="G505" s="452">
        <v>17250000</v>
      </c>
      <c r="H505" s="573" t="s">
        <v>17</v>
      </c>
      <c r="I505" s="20"/>
      <c r="J505" s="20"/>
      <c r="K505" s="2"/>
      <c r="L505" s="20"/>
      <c r="M505" s="20"/>
      <c r="N505" s="101">
        <f t="shared" si="19"/>
        <v>1150000</v>
      </c>
      <c r="O505" s="647" t="s">
        <v>3907</v>
      </c>
    </row>
    <row r="506" spans="1:15" hidden="1" x14ac:dyDescent="0.25">
      <c r="A506" s="428">
        <f t="shared" si="20"/>
        <v>497</v>
      </c>
      <c r="B506" s="434" t="s">
        <v>434</v>
      </c>
      <c r="C506" s="346" t="s">
        <v>3826</v>
      </c>
      <c r="D506" s="439">
        <v>44620</v>
      </c>
      <c r="E506" s="441">
        <v>44625</v>
      </c>
      <c r="F506" s="450">
        <v>16000000</v>
      </c>
      <c r="G506" s="452">
        <v>18350000</v>
      </c>
      <c r="H506" s="573" t="s">
        <v>17</v>
      </c>
      <c r="I506" s="20"/>
      <c r="J506" s="20"/>
      <c r="K506" s="2"/>
      <c r="L506" s="20"/>
      <c r="M506" s="20"/>
      <c r="N506" s="101">
        <f t="shared" si="19"/>
        <v>2350000</v>
      </c>
      <c r="O506" s="642" t="s">
        <v>3835</v>
      </c>
    </row>
    <row r="507" spans="1:15" hidden="1" x14ac:dyDescent="0.25">
      <c r="A507" s="428">
        <f t="shared" si="20"/>
        <v>498</v>
      </c>
      <c r="B507" s="434" t="s">
        <v>434</v>
      </c>
      <c r="C507" s="346" t="s">
        <v>3827</v>
      </c>
      <c r="D507" s="439">
        <v>44620</v>
      </c>
      <c r="E507" s="441">
        <v>44656</v>
      </c>
      <c r="F507" s="450">
        <v>16000000</v>
      </c>
      <c r="G507" s="452">
        <v>17250000</v>
      </c>
      <c r="H507" s="573" t="s">
        <v>3535</v>
      </c>
      <c r="I507" s="20"/>
      <c r="J507" s="20"/>
      <c r="K507" s="2"/>
      <c r="L507" s="20"/>
      <c r="M507" s="20"/>
      <c r="N507" s="101">
        <f t="shared" si="19"/>
        <v>1250000</v>
      </c>
      <c r="O507" s="650" t="s">
        <v>3919</v>
      </c>
    </row>
    <row r="508" spans="1:15" hidden="1" x14ac:dyDescent="0.25">
      <c r="A508" s="428">
        <f t="shared" si="20"/>
        <v>499</v>
      </c>
      <c r="B508" s="434" t="s">
        <v>434</v>
      </c>
      <c r="C508" s="346" t="s">
        <v>3828</v>
      </c>
      <c r="D508" s="439">
        <v>44620</v>
      </c>
      <c r="E508" s="441">
        <v>44620</v>
      </c>
      <c r="F508" s="450">
        <v>16100000</v>
      </c>
      <c r="G508" s="452">
        <v>17250000</v>
      </c>
      <c r="H508" s="573" t="s">
        <v>17</v>
      </c>
      <c r="I508" s="20"/>
      <c r="J508" s="20"/>
      <c r="K508" s="2"/>
      <c r="L508" s="20"/>
      <c r="M508" s="20"/>
      <c r="N508" s="101">
        <f t="shared" si="19"/>
        <v>1150000</v>
      </c>
      <c r="O508" s="640" t="s">
        <v>3815</v>
      </c>
    </row>
    <row r="509" spans="1:15" hidden="1" x14ac:dyDescent="0.25">
      <c r="A509" s="428">
        <f t="shared" si="20"/>
        <v>500</v>
      </c>
      <c r="B509" s="434" t="s">
        <v>434</v>
      </c>
      <c r="C509" s="346" t="s">
        <v>3829</v>
      </c>
      <c r="D509" s="439">
        <v>44620</v>
      </c>
      <c r="E509" s="441">
        <v>44595</v>
      </c>
      <c r="F509" s="450">
        <v>16100000</v>
      </c>
      <c r="G509" s="452">
        <v>18250000</v>
      </c>
      <c r="H509" s="573" t="s">
        <v>17</v>
      </c>
      <c r="I509" s="94"/>
      <c r="J509" s="94"/>
      <c r="K509" s="3"/>
      <c r="L509" s="94"/>
      <c r="M509" s="94"/>
      <c r="N509" s="101">
        <f t="shared" si="19"/>
        <v>2150000</v>
      </c>
      <c r="O509" s="642" t="s">
        <v>3835</v>
      </c>
    </row>
    <row r="510" spans="1:15" hidden="1" x14ac:dyDescent="0.25">
      <c r="A510" s="428">
        <f t="shared" si="20"/>
        <v>501</v>
      </c>
      <c r="B510" s="434" t="s">
        <v>434</v>
      </c>
      <c r="C510" s="398" t="s">
        <v>3817</v>
      </c>
      <c r="D510" s="441">
        <v>44620</v>
      </c>
      <c r="E510" s="441">
        <v>44658</v>
      </c>
      <c r="F510" s="450">
        <v>16000000</v>
      </c>
      <c r="G510" s="452">
        <v>16500000</v>
      </c>
      <c r="H510" s="573" t="s">
        <v>3535</v>
      </c>
      <c r="I510" s="94"/>
      <c r="J510" s="94"/>
      <c r="K510" s="3"/>
      <c r="L510" s="94"/>
      <c r="M510" s="94"/>
      <c r="N510" s="101">
        <f t="shared" si="19"/>
        <v>500000</v>
      </c>
      <c r="O510" s="650" t="s">
        <v>3919</v>
      </c>
    </row>
    <row r="511" spans="1:15" hidden="1" x14ac:dyDescent="0.25">
      <c r="A511" s="428">
        <f t="shared" si="20"/>
        <v>502</v>
      </c>
      <c r="B511" s="76" t="s">
        <v>28</v>
      </c>
      <c r="C511" s="346" t="s">
        <v>3831</v>
      </c>
      <c r="D511" s="441">
        <v>44620</v>
      </c>
      <c r="E511" s="441">
        <v>44646</v>
      </c>
      <c r="F511" s="450">
        <v>11750000</v>
      </c>
      <c r="G511" s="452">
        <v>12500000</v>
      </c>
      <c r="H511" s="573" t="s">
        <v>17</v>
      </c>
      <c r="I511" s="20"/>
      <c r="J511" s="20"/>
      <c r="K511" s="2"/>
      <c r="L511" s="20"/>
      <c r="M511" s="20"/>
      <c r="N511" s="101">
        <f t="shared" si="19"/>
        <v>750000</v>
      </c>
      <c r="O511" s="647" t="s">
        <v>3907</v>
      </c>
    </row>
    <row r="512" spans="1:15" hidden="1" x14ac:dyDescent="0.25">
      <c r="A512" s="428">
        <f t="shared" si="20"/>
        <v>503</v>
      </c>
      <c r="B512" s="76" t="s">
        <v>28</v>
      </c>
      <c r="C512" s="346" t="s">
        <v>3833</v>
      </c>
      <c r="D512" s="441">
        <v>44620</v>
      </c>
      <c r="E512" s="441">
        <v>44630</v>
      </c>
      <c r="F512" s="450">
        <v>11750000</v>
      </c>
      <c r="G512" s="452">
        <v>13050000</v>
      </c>
      <c r="H512" s="573" t="s">
        <v>17</v>
      </c>
      <c r="I512" s="20"/>
      <c r="J512" s="20"/>
      <c r="K512" s="2"/>
      <c r="L512" s="20"/>
      <c r="M512" s="20"/>
      <c r="N512" s="101">
        <f t="shared" si="19"/>
        <v>1300000</v>
      </c>
      <c r="O512" s="644" t="s">
        <v>3837</v>
      </c>
    </row>
    <row r="513" spans="1:15" hidden="1" x14ac:dyDescent="0.25">
      <c r="A513" s="428">
        <f t="shared" si="20"/>
        <v>504</v>
      </c>
      <c r="B513" s="76" t="s">
        <v>28</v>
      </c>
      <c r="C513" s="346" t="s">
        <v>3832</v>
      </c>
      <c r="D513" s="441">
        <v>44620</v>
      </c>
      <c r="E513" s="441">
        <v>44664</v>
      </c>
      <c r="F513" s="450">
        <v>11750000</v>
      </c>
      <c r="G513" s="452">
        <v>12250000</v>
      </c>
      <c r="H513" s="573" t="s">
        <v>3535</v>
      </c>
      <c r="I513" s="20"/>
      <c r="J513" s="20"/>
      <c r="K513" s="2"/>
      <c r="L513" s="20"/>
      <c r="M513" s="20"/>
      <c r="N513" s="101">
        <f t="shared" si="19"/>
        <v>500000</v>
      </c>
      <c r="O513" s="653" t="s">
        <v>3920</v>
      </c>
    </row>
    <row r="514" spans="1:15" hidden="1" x14ac:dyDescent="0.25">
      <c r="A514" s="428">
        <f t="shared" si="20"/>
        <v>505</v>
      </c>
      <c r="B514" s="76" t="s">
        <v>28</v>
      </c>
      <c r="C514" s="346" t="s">
        <v>3834</v>
      </c>
      <c r="D514" s="441">
        <v>44620</v>
      </c>
      <c r="E514" s="441">
        <v>44623</v>
      </c>
      <c r="F514" s="450">
        <v>12500000</v>
      </c>
      <c r="G514" s="452">
        <v>13250000</v>
      </c>
      <c r="H514" s="573" t="s">
        <v>3535</v>
      </c>
      <c r="I514" s="20"/>
      <c r="J514" s="85"/>
      <c r="K514" s="2"/>
      <c r="L514" s="20"/>
      <c r="M514" s="20"/>
      <c r="N514" s="101">
        <f t="shared" si="19"/>
        <v>750000</v>
      </c>
      <c r="O514" s="642" t="s">
        <v>3835</v>
      </c>
    </row>
    <row r="515" spans="1:15" hidden="1" x14ac:dyDescent="0.25">
      <c r="A515" s="428">
        <f t="shared" si="20"/>
        <v>506</v>
      </c>
      <c r="B515" s="434" t="s">
        <v>28</v>
      </c>
      <c r="C515" s="398" t="s">
        <v>3830</v>
      </c>
      <c r="D515" s="441">
        <v>44620</v>
      </c>
      <c r="E515" s="441">
        <v>44623</v>
      </c>
      <c r="F515" s="455">
        <v>12600000</v>
      </c>
      <c r="G515" s="454">
        <v>13950000</v>
      </c>
      <c r="H515" s="573" t="s">
        <v>17</v>
      </c>
      <c r="I515" s="94"/>
      <c r="J515" s="94"/>
      <c r="K515" s="3"/>
      <c r="L515" s="94"/>
      <c r="M515" s="94"/>
      <c r="N515" s="101">
        <f t="shared" si="19"/>
        <v>1350000</v>
      </c>
      <c r="O515" s="642" t="s">
        <v>3835</v>
      </c>
    </row>
    <row r="516" spans="1:15" hidden="1" x14ac:dyDescent="0.25">
      <c r="A516" s="428">
        <f t="shared" si="20"/>
        <v>507</v>
      </c>
      <c r="B516" s="76" t="s">
        <v>1433</v>
      </c>
      <c r="C516" s="346" t="s">
        <v>3909</v>
      </c>
      <c r="D516" s="439">
        <v>44650</v>
      </c>
      <c r="E516" s="441">
        <v>44657</v>
      </c>
      <c r="F516" s="450">
        <v>7500000</v>
      </c>
      <c r="G516" s="452">
        <v>8550000</v>
      </c>
      <c r="H516" s="573" t="s">
        <v>3535</v>
      </c>
      <c r="I516" s="20"/>
      <c r="J516" s="20"/>
      <c r="K516" s="2"/>
      <c r="L516" s="20"/>
      <c r="M516" s="20"/>
      <c r="N516" s="101">
        <f t="shared" si="19"/>
        <v>1050000</v>
      </c>
      <c r="O516" s="650" t="s">
        <v>3919</v>
      </c>
    </row>
    <row r="517" spans="1:15" hidden="1" x14ac:dyDescent="0.25">
      <c r="A517" s="428">
        <f t="shared" si="20"/>
        <v>508</v>
      </c>
      <c r="B517" s="76" t="s">
        <v>1433</v>
      </c>
      <c r="C517" s="346" t="s">
        <v>3910</v>
      </c>
      <c r="D517" s="439">
        <v>44650</v>
      </c>
      <c r="E517" s="441">
        <v>44653</v>
      </c>
      <c r="F517" s="450">
        <v>7500000</v>
      </c>
      <c r="G517" s="452">
        <v>8600000</v>
      </c>
      <c r="H517" s="573" t="s">
        <v>3535</v>
      </c>
      <c r="I517" s="20"/>
      <c r="J517" s="20"/>
      <c r="K517" s="2"/>
      <c r="L517" s="20"/>
      <c r="M517" s="20"/>
      <c r="N517" s="101">
        <f t="shared" si="19"/>
        <v>1100000</v>
      </c>
      <c r="O517" s="651" t="s">
        <v>3908</v>
      </c>
    </row>
    <row r="518" spans="1:15" hidden="1" x14ac:dyDescent="0.25">
      <c r="A518" s="428">
        <f t="shared" si="20"/>
        <v>509</v>
      </c>
      <c r="B518" s="76" t="s">
        <v>1433</v>
      </c>
      <c r="C518" s="346" t="s">
        <v>3911</v>
      </c>
      <c r="D518" s="439">
        <v>44650</v>
      </c>
      <c r="E518" s="441">
        <v>44672</v>
      </c>
      <c r="F518" s="450">
        <v>7500000</v>
      </c>
      <c r="G518" s="452">
        <v>8000000</v>
      </c>
      <c r="H518" s="573" t="s">
        <v>17</v>
      </c>
      <c r="I518" s="20"/>
      <c r="J518" s="20"/>
      <c r="K518" s="2"/>
      <c r="L518" s="20"/>
      <c r="M518" s="20"/>
      <c r="N518" s="101">
        <f t="shared" si="19"/>
        <v>500000</v>
      </c>
      <c r="O518" s="655" t="s">
        <v>4027</v>
      </c>
    </row>
    <row r="519" spans="1:15" hidden="1" x14ac:dyDescent="0.25">
      <c r="A519" s="428">
        <f t="shared" si="20"/>
        <v>510</v>
      </c>
      <c r="B519" s="76" t="s">
        <v>1433</v>
      </c>
      <c r="C519" s="346" t="s">
        <v>3912</v>
      </c>
      <c r="D519" s="439">
        <v>44650</v>
      </c>
      <c r="E519" s="441">
        <v>44653</v>
      </c>
      <c r="F519" s="450">
        <v>7500000</v>
      </c>
      <c r="G519" s="452">
        <v>8250000</v>
      </c>
      <c r="H519" s="573" t="s">
        <v>3535</v>
      </c>
      <c r="I519" s="20"/>
      <c r="J519" s="20"/>
      <c r="K519" s="2"/>
      <c r="L519" s="20"/>
      <c r="M519" s="20"/>
      <c r="N519" s="101">
        <f t="shared" si="19"/>
        <v>750000</v>
      </c>
      <c r="O519" s="651" t="s">
        <v>3908</v>
      </c>
    </row>
    <row r="520" spans="1:15" hidden="1" x14ac:dyDescent="0.25">
      <c r="A520" s="428">
        <f t="shared" si="20"/>
        <v>511</v>
      </c>
      <c r="B520" s="76" t="s">
        <v>1433</v>
      </c>
      <c r="C520" s="346" t="s">
        <v>3913</v>
      </c>
      <c r="D520" s="439">
        <v>44650</v>
      </c>
      <c r="E520" s="441">
        <v>44653</v>
      </c>
      <c r="F520" s="450">
        <v>7500000</v>
      </c>
      <c r="G520" s="452">
        <v>8350000</v>
      </c>
      <c r="H520" s="573" t="s">
        <v>3535</v>
      </c>
      <c r="I520" s="20"/>
      <c r="J520" s="20"/>
      <c r="K520" s="2"/>
      <c r="L520" s="20"/>
      <c r="M520" s="20"/>
      <c r="N520" s="101">
        <f t="shared" si="19"/>
        <v>850000</v>
      </c>
      <c r="O520" s="651" t="s">
        <v>3908</v>
      </c>
    </row>
    <row r="521" spans="1:15" hidden="1" x14ac:dyDescent="0.25">
      <c r="A521" s="428">
        <f t="shared" si="20"/>
        <v>512</v>
      </c>
      <c r="B521" s="76" t="s">
        <v>1433</v>
      </c>
      <c r="C521" s="346" t="s">
        <v>3914</v>
      </c>
      <c r="D521" s="439">
        <v>44650</v>
      </c>
      <c r="E521" s="441">
        <v>44663</v>
      </c>
      <c r="F521" s="450">
        <v>7500000</v>
      </c>
      <c r="G521" s="452">
        <v>8500000</v>
      </c>
      <c r="H521" s="573" t="s">
        <v>3535</v>
      </c>
      <c r="I521" s="20"/>
      <c r="J521" s="20"/>
      <c r="K521" s="2"/>
      <c r="L521" s="20"/>
      <c r="M521" s="20"/>
      <c r="N521" s="101">
        <f t="shared" si="19"/>
        <v>1000000</v>
      </c>
      <c r="O521" s="653" t="s">
        <v>3920</v>
      </c>
    </row>
    <row r="522" spans="1:15" hidden="1" x14ac:dyDescent="0.25">
      <c r="A522" s="428">
        <f t="shared" si="20"/>
        <v>513</v>
      </c>
      <c r="B522" s="76" t="s">
        <v>1433</v>
      </c>
      <c r="C522" s="346" t="s">
        <v>3915</v>
      </c>
      <c r="D522" s="439">
        <v>44650</v>
      </c>
      <c r="E522" s="441">
        <v>44653</v>
      </c>
      <c r="F522" s="450">
        <v>7500000</v>
      </c>
      <c r="G522" s="452">
        <v>8450000</v>
      </c>
      <c r="H522" s="573" t="s">
        <v>3535</v>
      </c>
      <c r="I522" s="20"/>
      <c r="J522" s="20"/>
      <c r="K522" s="2"/>
      <c r="L522" s="20"/>
      <c r="M522" s="20"/>
      <c r="N522" s="101">
        <f t="shared" si="19"/>
        <v>950000</v>
      </c>
      <c r="O522" s="651" t="s">
        <v>3908</v>
      </c>
    </row>
    <row r="523" spans="1:15" hidden="1" x14ac:dyDescent="0.25">
      <c r="A523" s="428">
        <f t="shared" si="20"/>
        <v>514</v>
      </c>
      <c r="B523" s="76" t="s">
        <v>1433</v>
      </c>
      <c r="C523" s="346" t="s">
        <v>3916</v>
      </c>
      <c r="D523" s="439">
        <v>44650</v>
      </c>
      <c r="E523" s="441">
        <v>44655</v>
      </c>
      <c r="F523" s="450">
        <v>7500000</v>
      </c>
      <c r="G523" s="452">
        <v>8250000</v>
      </c>
      <c r="H523" s="573" t="s">
        <v>3535</v>
      </c>
      <c r="I523" s="20"/>
      <c r="J523" s="20"/>
      <c r="K523" s="2"/>
      <c r="L523" s="20"/>
      <c r="M523" s="20"/>
      <c r="N523" s="101">
        <f t="shared" si="19"/>
        <v>750000</v>
      </c>
      <c r="O523" s="650" t="s">
        <v>3919</v>
      </c>
    </row>
    <row r="524" spans="1:15" hidden="1" x14ac:dyDescent="0.25">
      <c r="A524" s="428">
        <f t="shared" si="20"/>
        <v>515</v>
      </c>
      <c r="B524" s="76" t="s">
        <v>1433</v>
      </c>
      <c r="C524" s="346" t="s">
        <v>3917</v>
      </c>
      <c r="D524" s="439">
        <v>44650</v>
      </c>
      <c r="E524" s="441">
        <v>44664</v>
      </c>
      <c r="F524" s="450">
        <v>7500000</v>
      </c>
      <c r="G524" s="452">
        <v>8350000</v>
      </c>
      <c r="H524" s="573" t="s">
        <v>3535</v>
      </c>
      <c r="I524" s="20"/>
      <c r="J524" s="20"/>
      <c r="K524" s="2"/>
      <c r="L524" s="20"/>
      <c r="M524" s="20"/>
      <c r="N524" s="101">
        <f t="shared" si="19"/>
        <v>850000</v>
      </c>
      <c r="O524" s="653" t="s">
        <v>3920</v>
      </c>
    </row>
    <row r="525" spans="1:15" hidden="1" x14ac:dyDescent="0.25">
      <c r="A525" s="426">
        <f t="shared" si="20"/>
        <v>516</v>
      </c>
      <c r="B525" s="434" t="s">
        <v>1433</v>
      </c>
      <c r="C525" s="398" t="s">
        <v>3918</v>
      </c>
      <c r="D525" s="441">
        <v>44650</v>
      </c>
      <c r="E525" s="441">
        <v>44671</v>
      </c>
      <c r="F525" s="455">
        <v>7500000</v>
      </c>
      <c r="G525" s="454">
        <v>8500000</v>
      </c>
      <c r="H525" s="573" t="s">
        <v>17</v>
      </c>
      <c r="I525" s="94"/>
      <c r="J525" s="94"/>
      <c r="K525" s="3"/>
      <c r="L525" s="94"/>
      <c r="M525" s="94"/>
      <c r="N525" s="101">
        <f t="shared" si="19"/>
        <v>1000000</v>
      </c>
      <c r="O525" s="655" t="s">
        <v>4027</v>
      </c>
    </row>
    <row r="526" spans="1:15" hidden="1" x14ac:dyDescent="0.25">
      <c r="A526" s="426">
        <f t="shared" si="20"/>
        <v>517</v>
      </c>
      <c r="B526" s="76" t="s">
        <v>435</v>
      </c>
      <c r="C526" s="346" t="s">
        <v>4019</v>
      </c>
      <c r="D526" s="439">
        <v>44665</v>
      </c>
      <c r="E526" s="439">
        <v>44666</v>
      </c>
      <c r="F526" s="450">
        <v>16000000</v>
      </c>
      <c r="G526" s="452">
        <v>17750000</v>
      </c>
      <c r="H526" s="573" t="s">
        <v>3535</v>
      </c>
      <c r="I526" s="20"/>
      <c r="J526" s="20"/>
      <c r="K526" s="2"/>
      <c r="L526" s="20"/>
      <c r="M526" s="20"/>
      <c r="N526" s="101">
        <f t="shared" si="19"/>
        <v>1750000</v>
      </c>
      <c r="O526" s="653" t="s">
        <v>3920</v>
      </c>
    </row>
    <row r="527" spans="1:15" hidden="1" x14ac:dyDescent="0.25">
      <c r="A527" s="426">
        <f t="shared" si="20"/>
        <v>518</v>
      </c>
      <c r="B527" s="76" t="s">
        <v>435</v>
      </c>
      <c r="C527" s="346" t="s">
        <v>4023</v>
      </c>
      <c r="D527" s="439">
        <v>44665</v>
      </c>
      <c r="E527" s="441">
        <v>44704</v>
      </c>
      <c r="F527" s="450">
        <v>16000000</v>
      </c>
      <c r="G527" s="452">
        <v>17750000</v>
      </c>
      <c r="H527" s="573" t="s">
        <v>17</v>
      </c>
      <c r="I527" s="20"/>
      <c r="J527" s="20"/>
      <c r="K527" s="2"/>
      <c r="L527" s="20"/>
      <c r="M527" s="20"/>
      <c r="N527" s="101">
        <f t="shared" si="19"/>
        <v>1750000</v>
      </c>
      <c r="O527" s="669" t="s">
        <v>4049</v>
      </c>
    </row>
    <row r="528" spans="1:15" hidden="1" x14ac:dyDescent="0.25">
      <c r="A528" s="426">
        <f t="shared" si="20"/>
        <v>519</v>
      </c>
      <c r="B528" s="76" t="s">
        <v>435</v>
      </c>
      <c r="C528" s="346" t="s">
        <v>4021</v>
      </c>
      <c r="D528" s="439">
        <v>44665</v>
      </c>
      <c r="E528" s="439">
        <v>44667</v>
      </c>
      <c r="F528" s="450">
        <v>16000000</v>
      </c>
      <c r="G528" s="452">
        <v>18000000</v>
      </c>
      <c r="H528" s="573" t="s">
        <v>3535</v>
      </c>
      <c r="I528" s="20"/>
      <c r="J528" s="20"/>
      <c r="K528" s="2"/>
      <c r="L528" s="20"/>
      <c r="M528" s="20"/>
      <c r="N528" s="101">
        <f t="shared" si="19"/>
        <v>2000000</v>
      </c>
      <c r="O528" s="653" t="s">
        <v>3920</v>
      </c>
    </row>
    <row r="529" spans="1:15" hidden="1" x14ac:dyDescent="0.25">
      <c r="A529" s="426">
        <f t="shared" si="20"/>
        <v>520</v>
      </c>
      <c r="B529" s="76" t="s">
        <v>435</v>
      </c>
      <c r="C529" s="346" t="s">
        <v>4024</v>
      </c>
      <c r="D529" s="439">
        <v>44665</v>
      </c>
      <c r="E529" s="441">
        <v>44677</v>
      </c>
      <c r="F529" s="450">
        <v>16000000</v>
      </c>
      <c r="G529" s="452">
        <v>17250000</v>
      </c>
      <c r="H529" s="573" t="s">
        <v>17</v>
      </c>
      <c r="I529" s="20"/>
      <c r="J529" s="20"/>
      <c r="K529" s="2"/>
      <c r="L529" s="20"/>
      <c r="M529" s="20"/>
      <c r="N529" s="101">
        <f t="shared" si="19"/>
        <v>1250000</v>
      </c>
      <c r="O529" s="657" t="s">
        <v>4035</v>
      </c>
    </row>
    <row r="530" spans="1:15" hidden="1" x14ac:dyDescent="0.25">
      <c r="A530" s="426">
        <f t="shared" si="20"/>
        <v>521</v>
      </c>
      <c r="B530" s="76" t="s">
        <v>435</v>
      </c>
      <c r="C530" s="346" t="s">
        <v>4025</v>
      </c>
      <c r="D530" s="439">
        <v>44665</v>
      </c>
      <c r="E530" s="441">
        <v>44677</v>
      </c>
      <c r="F530" s="450">
        <v>16000000</v>
      </c>
      <c r="G530" s="452">
        <v>17250000</v>
      </c>
      <c r="H530" s="573" t="s">
        <v>17</v>
      </c>
      <c r="I530" s="20"/>
      <c r="J530" s="20"/>
      <c r="K530" s="2"/>
      <c r="L530" s="20"/>
      <c r="M530" s="20"/>
      <c r="N530" s="101">
        <f t="shared" si="19"/>
        <v>1250000</v>
      </c>
      <c r="O530" s="657" t="s">
        <v>4035</v>
      </c>
    </row>
    <row r="531" spans="1:15" hidden="1" x14ac:dyDescent="0.25">
      <c r="A531" s="426">
        <f t="shared" si="20"/>
        <v>522</v>
      </c>
      <c r="B531" s="76" t="s">
        <v>435</v>
      </c>
      <c r="C531" s="346" t="s">
        <v>3731</v>
      </c>
      <c r="D531" s="439">
        <v>44665</v>
      </c>
      <c r="E531" s="441">
        <v>44674</v>
      </c>
      <c r="F531" s="450">
        <v>15500000</v>
      </c>
      <c r="G531" s="452">
        <v>17750000</v>
      </c>
      <c r="H531" s="573" t="s">
        <v>17</v>
      </c>
      <c r="I531" s="20"/>
      <c r="J531" s="20"/>
      <c r="K531" s="2"/>
      <c r="L531" s="20"/>
      <c r="M531" s="20"/>
      <c r="N531" s="101">
        <f t="shared" si="19"/>
        <v>2250000</v>
      </c>
      <c r="O531" s="655" t="s">
        <v>4027</v>
      </c>
    </row>
    <row r="532" spans="1:15" hidden="1" x14ac:dyDescent="0.25">
      <c r="A532" s="426">
        <f t="shared" si="20"/>
        <v>523</v>
      </c>
      <c r="B532" s="434" t="s">
        <v>87</v>
      </c>
      <c r="C532" s="398" t="s">
        <v>4022</v>
      </c>
      <c r="D532" s="441">
        <v>44665</v>
      </c>
      <c r="E532" s="441">
        <v>44667</v>
      </c>
      <c r="F532" s="455">
        <v>12000000</v>
      </c>
      <c r="G532" s="454">
        <v>14000000</v>
      </c>
      <c r="H532" s="573" t="s">
        <v>3535</v>
      </c>
      <c r="I532" s="94"/>
      <c r="J532" s="94"/>
      <c r="K532" s="3"/>
      <c r="L532" s="94"/>
      <c r="M532" s="94"/>
      <c r="N532" s="101">
        <f t="shared" si="19"/>
        <v>2000000</v>
      </c>
      <c r="O532" s="653" t="s">
        <v>3920</v>
      </c>
    </row>
    <row r="533" spans="1:15" hidden="1" x14ac:dyDescent="0.25">
      <c r="A533" s="426">
        <f t="shared" si="20"/>
        <v>524</v>
      </c>
      <c r="B533" s="434" t="s">
        <v>87</v>
      </c>
      <c r="C533" s="398" t="s">
        <v>4029</v>
      </c>
      <c r="D533" s="441">
        <v>44670</v>
      </c>
      <c r="E533" s="441">
        <v>44685</v>
      </c>
      <c r="F533" s="455">
        <v>12250000</v>
      </c>
      <c r="G533" s="454">
        <v>13250000</v>
      </c>
      <c r="H533" s="573" t="s">
        <v>17</v>
      </c>
      <c r="I533" s="94"/>
      <c r="J533" s="94"/>
      <c r="K533" s="3"/>
      <c r="L533" s="94"/>
      <c r="M533" s="94"/>
      <c r="N533" s="101">
        <f t="shared" si="19"/>
        <v>1000000</v>
      </c>
      <c r="O533" s="659" t="s">
        <v>4037</v>
      </c>
    </row>
    <row r="534" spans="1:15" hidden="1" x14ac:dyDescent="0.25">
      <c r="A534" s="426">
        <f t="shared" si="20"/>
        <v>525</v>
      </c>
      <c r="B534" s="434" t="s">
        <v>87</v>
      </c>
      <c r="C534" s="346" t="s">
        <v>4030</v>
      </c>
      <c r="D534" s="439">
        <v>44676</v>
      </c>
      <c r="E534" s="441">
        <v>44678</v>
      </c>
      <c r="F534" s="450">
        <v>12500000</v>
      </c>
      <c r="G534" s="107">
        <v>14750000</v>
      </c>
      <c r="H534" s="573" t="s">
        <v>17</v>
      </c>
      <c r="I534" s="20"/>
      <c r="J534" s="20"/>
      <c r="K534" s="2"/>
      <c r="L534" s="20"/>
      <c r="M534" s="20"/>
      <c r="N534" s="101">
        <f t="shared" si="19"/>
        <v>2250000</v>
      </c>
      <c r="O534" s="657" t="s">
        <v>4035</v>
      </c>
    </row>
    <row r="535" spans="1:15" hidden="1" x14ac:dyDescent="0.25">
      <c r="A535" s="426">
        <f t="shared" si="20"/>
        <v>526</v>
      </c>
      <c r="B535" s="434" t="s">
        <v>87</v>
      </c>
      <c r="C535" s="346" t="s">
        <v>4031</v>
      </c>
      <c r="D535" s="439">
        <v>44676</v>
      </c>
      <c r="E535" s="441">
        <v>44693</v>
      </c>
      <c r="F535" s="450">
        <v>12150000</v>
      </c>
      <c r="G535" s="452">
        <v>13000000</v>
      </c>
      <c r="H535" s="573" t="s">
        <v>17</v>
      </c>
      <c r="I535" s="20"/>
      <c r="J535" s="20"/>
      <c r="K535" s="2"/>
      <c r="L535" s="20"/>
      <c r="M535" s="20"/>
      <c r="N535" s="101">
        <f t="shared" si="19"/>
        <v>850000</v>
      </c>
      <c r="O535" s="661" t="s">
        <v>4038</v>
      </c>
    </row>
    <row r="536" spans="1:15" hidden="1" x14ac:dyDescent="0.25">
      <c r="A536" s="426">
        <f t="shared" si="20"/>
        <v>527</v>
      </c>
      <c r="B536" s="434" t="s">
        <v>87</v>
      </c>
      <c r="C536" s="346" t="s">
        <v>4032</v>
      </c>
      <c r="D536" s="439">
        <v>44676</v>
      </c>
      <c r="E536" s="441">
        <v>44679</v>
      </c>
      <c r="F536" s="450">
        <v>12150000</v>
      </c>
      <c r="G536" s="452">
        <v>13250000</v>
      </c>
      <c r="H536" s="573" t="s">
        <v>17</v>
      </c>
      <c r="I536" s="20"/>
      <c r="J536" s="20"/>
      <c r="K536" s="2"/>
      <c r="L536" s="20"/>
      <c r="M536" s="20"/>
      <c r="N536" s="101">
        <f t="shared" si="19"/>
        <v>1100000</v>
      </c>
      <c r="O536" s="657" t="s">
        <v>4035</v>
      </c>
    </row>
    <row r="537" spans="1:15" hidden="1" x14ac:dyDescent="0.25">
      <c r="A537" s="426">
        <f t="shared" si="20"/>
        <v>528</v>
      </c>
      <c r="B537" s="434" t="s">
        <v>87</v>
      </c>
      <c r="C537" s="346" t="s">
        <v>4033</v>
      </c>
      <c r="D537" s="439">
        <v>44676</v>
      </c>
      <c r="E537" s="441">
        <v>44688</v>
      </c>
      <c r="F537" s="450">
        <v>12150000</v>
      </c>
      <c r="G537" s="452">
        <v>12750000</v>
      </c>
      <c r="H537" s="573" t="s">
        <v>17</v>
      </c>
      <c r="I537" s="20"/>
      <c r="J537" s="20"/>
      <c r="K537" s="2"/>
      <c r="L537" s="20"/>
      <c r="M537" s="20"/>
      <c r="N537" s="101">
        <f t="shared" si="19"/>
        <v>600000</v>
      </c>
      <c r="O537" s="659" t="s">
        <v>4037</v>
      </c>
    </row>
    <row r="538" spans="1:15" hidden="1" x14ac:dyDescent="0.25">
      <c r="A538" s="426">
        <f t="shared" si="20"/>
        <v>529</v>
      </c>
      <c r="B538" s="434" t="s">
        <v>87</v>
      </c>
      <c r="C538" s="398" t="s">
        <v>4034</v>
      </c>
      <c r="D538" s="441">
        <v>44676</v>
      </c>
      <c r="E538" s="441">
        <v>44680</v>
      </c>
      <c r="F538" s="455">
        <v>12150000</v>
      </c>
      <c r="G538" s="454">
        <v>13000000</v>
      </c>
      <c r="H538" s="573" t="s">
        <v>17</v>
      </c>
      <c r="I538" s="94"/>
      <c r="J538" s="94"/>
      <c r="K538" s="3"/>
      <c r="L538" s="94"/>
      <c r="M538" s="94"/>
      <c r="N538" s="101">
        <f t="shared" si="19"/>
        <v>850000</v>
      </c>
      <c r="O538" s="657" t="s">
        <v>4035</v>
      </c>
    </row>
    <row r="539" spans="1:15" hidden="1" x14ac:dyDescent="0.25">
      <c r="A539" s="426">
        <f t="shared" si="20"/>
        <v>530</v>
      </c>
      <c r="B539" s="76" t="s">
        <v>435</v>
      </c>
      <c r="C539" s="662" t="s">
        <v>4039</v>
      </c>
      <c r="D539" s="439">
        <v>44693</v>
      </c>
      <c r="E539" s="441">
        <v>44729</v>
      </c>
      <c r="F539" s="450">
        <v>16150000</v>
      </c>
      <c r="G539" s="452">
        <v>17400000</v>
      </c>
      <c r="H539" s="573" t="s">
        <v>17</v>
      </c>
      <c r="I539" s="20"/>
      <c r="J539" s="20"/>
      <c r="K539" s="2"/>
      <c r="L539" s="20"/>
      <c r="M539" s="20"/>
      <c r="N539" s="101">
        <f t="shared" si="19"/>
        <v>1250000</v>
      </c>
      <c r="O539" s="680" t="s">
        <v>4250</v>
      </c>
    </row>
    <row r="540" spans="1:15" hidden="1" x14ac:dyDescent="0.25">
      <c r="A540" s="426">
        <f t="shared" si="20"/>
        <v>531</v>
      </c>
      <c r="B540" s="76" t="s">
        <v>435</v>
      </c>
      <c r="C540" s="662" t="s">
        <v>4040</v>
      </c>
      <c r="D540" s="439">
        <v>44693</v>
      </c>
      <c r="E540" s="441">
        <v>44702</v>
      </c>
      <c r="F540" s="450">
        <v>16100000</v>
      </c>
      <c r="G540" s="452">
        <v>18000000</v>
      </c>
      <c r="H540" s="573" t="s">
        <v>17</v>
      </c>
      <c r="I540" s="20"/>
      <c r="J540" s="20"/>
      <c r="K540" s="2"/>
      <c r="L540" s="20"/>
      <c r="M540" s="20"/>
      <c r="N540" s="101">
        <f t="shared" si="19"/>
        <v>1900000</v>
      </c>
      <c r="O540" s="666" t="s">
        <v>4047</v>
      </c>
    </row>
    <row r="541" spans="1:15" hidden="1" x14ac:dyDescent="0.25">
      <c r="A541" s="426">
        <f t="shared" si="20"/>
        <v>532</v>
      </c>
      <c r="B541" s="76" t="s">
        <v>435</v>
      </c>
      <c r="C541" s="662" t="s">
        <v>4041</v>
      </c>
      <c r="D541" s="439">
        <v>44693</v>
      </c>
      <c r="E541" s="441">
        <v>44733</v>
      </c>
      <c r="F541" s="450">
        <v>15900000</v>
      </c>
      <c r="G541" s="452">
        <v>17250000</v>
      </c>
      <c r="H541" s="573" t="s">
        <v>17</v>
      </c>
      <c r="I541" s="20"/>
      <c r="J541" s="85"/>
      <c r="K541" s="2"/>
      <c r="L541" s="20"/>
      <c r="M541" s="20"/>
      <c r="N541" s="101">
        <f t="shared" si="19"/>
        <v>1350000</v>
      </c>
      <c r="O541" s="682" t="s">
        <v>4261</v>
      </c>
    </row>
    <row r="542" spans="1:15" hidden="1" x14ac:dyDescent="0.25">
      <c r="A542" s="426">
        <f t="shared" si="20"/>
        <v>533</v>
      </c>
      <c r="B542" s="76" t="s">
        <v>435</v>
      </c>
      <c r="C542" s="662" t="s">
        <v>4042</v>
      </c>
      <c r="D542" s="439">
        <v>44693</v>
      </c>
      <c r="E542" s="441">
        <v>44698</v>
      </c>
      <c r="F542" s="450">
        <v>15900000</v>
      </c>
      <c r="G542" s="452">
        <v>18000000</v>
      </c>
      <c r="H542" s="573" t="s">
        <v>17</v>
      </c>
      <c r="I542" s="20"/>
      <c r="J542" s="20"/>
      <c r="K542" s="2"/>
      <c r="L542" s="20"/>
      <c r="M542" s="20"/>
      <c r="N542" s="101">
        <f t="shared" si="19"/>
        <v>2100000</v>
      </c>
      <c r="O542" s="666" t="s">
        <v>4047</v>
      </c>
    </row>
    <row r="543" spans="1:15" hidden="1" x14ac:dyDescent="0.25">
      <c r="A543" s="426">
        <f t="shared" si="20"/>
        <v>534</v>
      </c>
      <c r="B543" s="434" t="s">
        <v>435</v>
      </c>
      <c r="C543" s="667" t="s">
        <v>4043</v>
      </c>
      <c r="D543" s="441">
        <v>44693</v>
      </c>
      <c r="E543" s="441">
        <v>44697</v>
      </c>
      <c r="F543" s="455">
        <v>15900000</v>
      </c>
      <c r="G543" s="454">
        <v>18000000</v>
      </c>
      <c r="H543" s="573" t="s">
        <v>17</v>
      </c>
      <c r="I543" s="94"/>
      <c r="J543" s="94"/>
      <c r="K543" s="3"/>
      <c r="L543" s="94"/>
      <c r="M543" s="94"/>
      <c r="N543" s="101">
        <f t="shared" si="19"/>
        <v>2100000</v>
      </c>
      <c r="O543" s="666" t="s">
        <v>4047</v>
      </c>
    </row>
    <row r="544" spans="1:15" hidden="1" x14ac:dyDescent="0.25">
      <c r="A544" s="428">
        <f t="shared" si="20"/>
        <v>535</v>
      </c>
      <c r="B544" s="76" t="s">
        <v>224</v>
      </c>
      <c r="C544" s="662" t="s">
        <v>4048</v>
      </c>
      <c r="D544" s="441">
        <v>44698</v>
      </c>
      <c r="E544" s="441">
        <v>44737</v>
      </c>
      <c r="F544" s="450">
        <v>10625000</v>
      </c>
      <c r="G544" s="452">
        <v>11650000</v>
      </c>
      <c r="H544" s="573" t="s">
        <v>17</v>
      </c>
      <c r="I544" s="20"/>
      <c r="J544" s="20"/>
      <c r="K544" s="2"/>
      <c r="L544" s="20"/>
      <c r="M544" s="20"/>
      <c r="N544" s="101">
        <f t="shared" si="19"/>
        <v>1025000</v>
      </c>
      <c r="O544" s="682" t="s">
        <v>4261</v>
      </c>
    </row>
    <row r="545" spans="1:15" hidden="1" x14ac:dyDescent="0.25">
      <c r="A545" s="428">
        <f t="shared" si="20"/>
        <v>536</v>
      </c>
      <c r="B545" s="76" t="s">
        <v>224</v>
      </c>
      <c r="C545" s="667" t="s">
        <v>4057</v>
      </c>
      <c r="D545" s="441">
        <v>44698</v>
      </c>
      <c r="E545" s="441">
        <v>44706</v>
      </c>
      <c r="F545" s="455">
        <v>10625000</v>
      </c>
      <c r="G545" s="454">
        <v>11750000</v>
      </c>
      <c r="H545" s="573" t="s">
        <v>17</v>
      </c>
      <c r="I545" s="94"/>
      <c r="J545" s="94"/>
      <c r="K545" s="3"/>
      <c r="L545" s="94"/>
      <c r="M545" s="94"/>
      <c r="N545" s="101">
        <f t="shared" si="19"/>
        <v>1125000</v>
      </c>
      <c r="O545" s="669" t="s">
        <v>4049</v>
      </c>
    </row>
    <row r="546" spans="1:15" hidden="1" x14ac:dyDescent="0.25">
      <c r="A546" s="428">
        <f t="shared" si="20"/>
        <v>537</v>
      </c>
      <c r="B546" s="670" t="s">
        <v>224</v>
      </c>
      <c r="C546" s="662" t="s">
        <v>4056</v>
      </c>
      <c r="D546" s="439">
        <v>44704</v>
      </c>
      <c r="E546" s="441">
        <v>44777</v>
      </c>
      <c r="F546" s="450">
        <v>10750000</v>
      </c>
      <c r="G546" s="452">
        <v>12350000</v>
      </c>
      <c r="H546" s="573" t="s">
        <v>17</v>
      </c>
      <c r="I546" s="20"/>
      <c r="J546" s="20"/>
      <c r="K546" s="2"/>
      <c r="L546" s="20"/>
      <c r="M546" s="20"/>
      <c r="N546" s="101">
        <f t="shared" si="19"/>
        <v>1600000</v>
      </c>
      <c r="O546" s="699" t="s">
        <v>4430</v>
      </c>
    </row>
    <row r="547" spans="1:15" hidden="1" x14ac:dyDescent="0.25">
      <c r="A547" s="428">
        <f t="shared" si="20"/>
        <v>538</v>
      </c>
      <c r="B547" s="670" t="s">
        <v>224</v>
      </c>
      <c r="C547" s="662" t="s">
        <v>4055</v>
      </c>
      <c r="D547" s="439">
        <v>44704</v>
      </c>
      <c r="E547" s="441">
        <v>44707</v>
      </c>
      <c r="F547" s="450">
        <v>11000000</v>
      </c>
      <c r="G547" s="452">
        <v>12250000</v>
      </c>
      <c r="H547" s="573" t="s">
        <v>17</v>
      </c>
      <c r="I547" s="20"/>
      <c r="J547" s="20"/>
      <c r="K547" s="2"/>
      <c r="L547" s="20"/>
      <c r="M547" s="20"/>
      <c r="N547" s="101">
        <f t="shared" si="19"/>
        <v>1250000</v>
      </c>
      <c r="O547" s="669" t="s">
        <v>4049</v>
      </c>
    </row>
    <row r="548" spans="1:15" hidden="1" x14ac:dyDescent="0.25">
      <c r="A548" s="428">
        <f t="shared" si="20"/>
        <v>539</v>
      </c>
      <c r="B548" s="670" t="s">
        <v>224</v>
      </c>
      <c r="C548" s="662" t="s">
        <v>4050</v>
      </c>
      <c r="D548" s="439">
        <v>44704</v>
      </c>
      <c r="E548" s="441">
        <v>44705</v>
      </c>
      <c r="F548" s="450">
        <v>9500000</v>
      </c>
      <c r="G548" s="452">
        <v>10350000</v>
      </c>
      <c r="H548" s="573" t="s">
        <v>17</v>
      </c>
      <c r="I548" s="20"/>
      <c r="J548" s="20"/>
      <c r="K548" s="2"/>
      <c r="L548" s="20"/>
      <c r="M548" s="20"/>
      <c r="N548" s="101">
        <f t="shared" si="19"/>
        <v>850000</v>
      </c>
      <c r="O548" s="669" t="s">
        <v>4049</v>
      </c>
    </row>
    <row r="549" spans="1:15" hidden="1" x14ac:dyDescent="0.25">
      <c r="A549" s="428">
        <f t="shared" si="20"/>
        <v>540</v>
      </c>
      <c r="B549" s="670" t="s">
        <v>224</v>
      </c>
      <c r="C549" s="662" t="s">
        <v>4051</v>
      </c>
      <c r="D549" s="439">
        <v>44704</v>
      </c>
      <c r="E549" s="441">
        <v>44723</v>
      </c>
      <c r="F549" s="450">
        <v>9500000</v>
      </c>
      <c r="G549" s="452">
        <v>10750000</v>
      </c>
      <c r="H549" s="573" t="s">
        <v>17</v>
      </c>
      <c r="I549" s="20"/>
      <c r="J549" s="20"/>
      <c r="K549" s="2"/>
      <c r="L549" s="20"/>
      <c r="M549" s="20"/>
      <c r="N549" s="101">
        <f t="shared" si="19"/>
        <v>1250000</v>
      </c>
      <c r="O549" s="678" t="s">
        <v>4249</v>
      </c>
    </row>
    <row r="550" spans="1:15" hidden="1" x14ac:dyDescent="0.25">
      <c r="A550" s="428">
        <f t="shared" si="20"/>
        <v>541</v>
      </c>
      <c r="B550" s="670" t="s">
        <v>224</v>
      </c>
      <c r="C550" s="662" t="s">
        <v>4052</v>
      </c>
      <c r="D550" s="439">
        <v>44704</v>
      </c>
      <c r="E550" s="441">
        <v>44945</v>
      </c>
      <c r="F550" s="450">
        <v>9600000</v>
      </c>
      <c r="G550" s="452">
        <v>10250000</v>
      </c>
      <c r="H550" s="573" t="s">
        <v>17</v>
      </c>
      <c r="I550" s="20"/>
      <c r="J550" s="20"/>
      <c r="K550" s="2"/>
      <c r="L550" s="20"/>
      <c r="M550" s="20"/>
      <c r="N550" s="101">
        <f t="shared" si="19"/>
        <v>650000</v>
      </c>
      <c r="O550" s="754" t="s">
        <v>5099</v>
      </c>
    </row>
    <row r="551" spans="1:15" hidden="1" x14ac:dyDescent="0.25">
      <c r="A551" s="428">
        <f t="shared" si="20"/>
        <v>542</v>
      </c>
      <c r="B551" s="670" t="s">
        <v>224</v>
      </c>
      <c r="C551" s="662" t="s">
        <v>4053</v>
      </c>
      <c r="D551" s="439">
        <v>44704</v>
      </c>
      <c r="E551" s="441">
        <v>44707</v>
      </c>
      <c r="F551" s="450">
        <v>9500000</v>
      </c>
      <c r="G551" s="452">
        <v>10500000</v>
      </c>
      <c r="H551" s="573" t="s">
        <v>17</v>
      </c>
      <c r="I551" s="20"/>
      <c r="J551" s="20"/>
      <c r="K551" s="2"/>
      <c r="L551" s="20"/>
      <c r="M551" s="20"/>
      <c r="N551" s="101">
        <f t="shared" si="19"/>
        <v>1000000</v>
      </c>
      <c r="O551" s="669" t="s">
        <v>4049</v>
      </c>
    </row>
    <row r="552" spans="1:15" hidden="1" x14ac:dyDescent="0.25">
      <c r="A552" s="426">
        <f t="shared" si="20"/>
        <v>543</v>
      </c>
      <c r="B552" s="672" t="s">
        <v>224</v>
      </c>
      <c r="C552" s="667" t="s">
        <v>4054</v>
      </c>
      <c r="D552" s="441">
        <v>44704</v>
      </c>
      <c r="E552" s="441">
        <v>44729</v>
      </c>
      <c r="F552" s="455">
        <v>9500000</v>
      </c>
      <c r="G552" s="454">
        <v>10850000</v>
      </c>
      <c r="H552" s="573" t="s">
        <v>17</v>
      </c>
      <c r="I552" s="94"/>
      <c r="J552" s="94"/>
      <c r="K552" s="3"/>
      <c r="L552" s="94"/>
      <c r="M552" s="94"/>
      <c r="N552" s="101">
        <f t="shared" si="19"/>
        <v>1350000</v>
      </c>
      <c r="O552" s="680" t="s">
        <v>4250</v>
      </c>
    </row>
    <row r="553" spans="1:15" hidden="1" x14ac:dyDescent="0.25">
      <c r="A553" s="428">
        <f t="shared" si="20"/>
        <v>544</v>
      </c>
      <c r="B553" s="76" t="s">
        <v>435</v>
      </c>
      <c r="C553" s="662" t="s">
        <v>4246</v>
      </c>
      <c r="D553" s="439">
        <v>44711</v>
      </c>
      <c r="E553" s="441">
        <v>44685</v>
      </c>
      <c r="F553" s="450">
        <v>17750000</v>
      </c>
      <c r="G553" s="107">
        <v>20500000</v>
      </c>
      <c r="H553" s="573" t="s">
        <v>17</v>
      </c>
      <c r="I553" s="20"/>
      <c r="J553" s="85"/>
      <c r="K553" s="2"/>
      <c r="L553" s="20"/>
      <c r="M553" s="20"/>
      <c r="N553" s="101">
        <f t="shared" si="19"/>
        <v>2750000</v>
      </c>
      <c r="O553" s="674" t="s">
        <v>4245</v>
      </c>
    </row>
    <row r="554" spans="1:15" hidden="1" x14ac:dyDescent="0.25">
      <c r="A554" s="428">
        <f t="shared" si="20"/>
        <v>545</v>
      </c>
      <c r="B554" s="76" t="s">
        <v>435</v>
      </c>
      <c r="C554" s="662" t="s">
        <v>4247</v>
      </c>
      <c r="D554" s="439">
        <v>44711</v>
      </c>
      <c r="E554" s="441">
        <v>44714</v>
      </c>
      <c r="F554" s="450">
        <v>17750000</v>
      </c>
      <c r="G554" s="107">
        <v>18750000</v>
      </c>
      <c r="H554" s="573" t="s">
        <v>17</v>
      </c>
      <c r="I554" s="20"/>
      <c r="J554" s="20"/>
      <c r="K554" s="2"/>
      <c r="L554" s="20"/>
      <c r="M554" s="20"/>
      <c r="N554" s="101">
        <f t="shared" si="19"/>
        <v>1000000</v>
      </c>
      <c r="O554" s="674" t="s">
        <v>4245</v>
      </c>
    </row>
    <row r="555" spans="1:15" hidden="1" x14ac:dyDescent="0.25">
      <c r="A555" s="426">
        <f t="shared" si="20"/>
        <v>546</v>
      </c>
      <c r="B555" s="434" t="s">
        <v>435</v>
      </c>
      <c r="C555" s="667" t="s">
        <v>4248</v>
      </c>
      <c r="D555" s="441">
        <v>44711</v>
      </c>
      <c r="E555" s="441">
        <v>44713</v>
      </c>
      <c r="F555" s="455">
        <v>17750000</v>
      </c>
      <c r="G555" s="137">
        <v>18250000</v>
      </c>
      <c r="H555" s="573" t="s">
        <v>17</v>
      </c>
      <c r="I555" s="94"/>
      <c r="J555" s="94"/>
      <c r="K555" s="3"/>
      <c r="L555" s="94"/>
      <c r="M555" s="94"/>
      <c r="N555" s="101">
        <f t="shared" si="19"/>
        <v>500000</v>
      </c>
      <c r="O555" s="674" t="s">
        <v>4245</v>
      </c>
    </row>
    <row r="556" spans="1:15" hidden="1" x14ac:dyDescent="0.25">
      <c r="A556" s="428">
        <f t="shared" si="20"/>
        <v>547</v>
      </c>
      <c r="B556" s="76" t="s">
        <v>1433</v>
      </c>
      <c r="C556" s="662" t="s">
        <v>4257</v>
      </c>
      <c r="D556" s="439">
        <v>44717</v>
      </c>
      <c r="E556" s="441">
        <v>44734</v>
      </c>
      <c r="F556" s="450">
        <v>7250000</v>
      </c>
      <c r="G556" s="452">
        <v>8250000</v>
      </c>
      <c r="H556" s="573" t="s">
        <v>17</v>
      </c>
      <c r="I556" s="20"/>
      <c r="J556" s="20"/>
      <c r="K556" s="2"/>
      <c r="L556" s="20"/>
      <c r="M556" s="20"/>
      <c r="N556" s="20">
        <f t="shared" si="19"/>
        <v>1000000</v>
      </c>
      <c r="O556" s="682" t="s">
        <v>4261</v>
      </c>
    </row>
    <row r="557" spans="1:15" hidden="1" x14ac:dyDescent="0.25">
      <c r="A557" s="428">
        <f t="shared" si="20"/>
        <v>548</v>
      </c>
      <c r="B557" s="76" t="s">
        <v>1433</v>
      </c>
      <c r="C557" s="662" t="s">
        <v>4258</v>
      </c>
      <c r="D557" s="439">
        <v>44717</v>
      </c>
      <c r="E557" s="441">
        <v>44732</v>
      </c>
      <c r="F557" s="450">
        <v>7250000</v>
      </c>
      <c r="G557" s="452">
        <v>8500000</v>
      </c>
      <c r="H557" s="573" t="s">
        <v>17</v>
      </c>
      <c r="I557" s="20"/>
      <c r="J557" s="20"/>
      <c r="K557" s="2"/>
      <c r="L557" s="20"/>
      <c r="M557" s="20"/>
      <c r="N557" s="152">
        <f t="shared" si="19"/>
        <v>1250000</v>
      </c>
      <c r="O557" s="682" t="s">
        <v>4261</v>
      </c>
    </row>
    <row r="558" spans="1:15" hidden="1" x14ac:dyDescent="0.25">
      <c r="A558" s="426">
        <f t="shared" si="20"/>
        <v>549</v>
      </c>
      <c r="B558" s="434" t="s">
        <v>1433</v>
      </c>
      <c r="C558" s="662" t="s">
        <v>4259</v>
      </c>
      <c r="D558" s="441">
        <v>44717</v>
      </c>
      <c r="E558" s="441">
        <v>44728</v>
      </c>
      <c r="F558" s="455">
        <v>7250000</v>
      </c>
      <c r="G558" s="454">
        <v>8500000</v>
      </c>
      <c r="H558" s="573" t="s">
        <v>17</v>
      </c>
      <c r="I558" s="94"/>
      <c r="J558" s="94"/>
      <c r="K558" s="3"/>
      <c r="L558" s="94"/>
      <c r="M558" s="94"/>
      <c r="N558" s="94">
        <f t="shared" si="19"/>
        <v>1250000</v>
      </c>
      <c r="O558" s="680" t="s">
        <v>4250</v>
      </c>
    </row>
    <row r="559" spans="1:15" hidden="1" x14ac:dyDescent="0.25">
      <c r="A559" s="428">
        <f t="shared" si="20"/>
        <v>550</v>
      </c>
      <c r="B559" s="76" t="s">
        <v>435</v>
      </c>
      <c r="C559" s="662" t="s">
        <v>4251</v>
      </c>
      <c r="D559" s="439">
        <v>44725</v>
      </c>
      <c r="E559" s="439">
        <v>44726</v>
      </c>
      <c r="F559" s="450">
        <v>17000000</v>
      </c>
      <c r="G559" s="452">
        <v>18750000</v>
      </c>
      <c r="H559" s="573" t="s">
        <v>17</v>
      </c>
      <c r="I559" s="20"/>
      <c r="J559" s="20"/>
      <c r="K559" s="2"/>
      <c r="L559" s="20"/>
      <c r="M559" s="20"/>
      <c r="N559" s="101">
        <f t="shared" si="19"/>
        <v>1750000</v>
      </c>
      <c r="O559" s="680" t="s">
        <v>4250</v>
      </c>
    </row>
    <row r="560" spans="1:15" hidden="1" x14ac:dyDescent="0.25">
      <c r="A560" s="428">
        <f t="shared" si="20"/>
        <v>551</v>
      </c>
      <c r="B560" s="76" t="s">
        <v>435</v>
      </c>
      <c r="C560" s="662" t="s">
        <v>4252</v>
      </c>
      <c r="D560" s="439">
        <v>44725</v>
      </c>
      <c r="E560" s="439">
        <v>44726</v>
      </c>
      <c r="F560" s="450">
        <v>17000000</v>
      </c>
      <c r="G560" s="452">
        <v>19500000</v>
      </c>
      <c r="H560" s="573" t="s">
        <v>17</v>
      </c>
      <c r="I560" s="20"/>
      <c r="J560" s="20"/>
      <c r="K560" s="2"/>
      <c r="L560" s="20"/>
      <c r="M560" s="20"/>
      <c r="N560" s="101">
        <f t="shared" si="19"/>
        <v>2500000</v>
      </c>
      <c r="O560" s="680" t="s">
        <v>4250</v>
      </c>
    </row>
    <row r="561" spans="1:15" hidden="1" x14ac:dyDescent="0.25">
      <c r="A561" s="428">
        <f t="shared" si="20"/>
        <v>552</v>
      </c>
      <c r="B561" s="76" t="s">
        <v>87</v>
      </c>
      <c r="C561" s="662" t="s">
        <v>4253</v>
      </c>
      <c r="D561" s="439">
        <v>44725</v>
      </c>
      <c r="E561" s="439">
        <v>44726</v>
      </c>
      <c r="F561" s="450">
        <v>14750000</v>
      </c>
      <c r="G561" s="452">
        <v>15500000</v>
      </c>
      <c r="H561" s="573" t="s">
        <v>17</v>
      </c>
      <c r="I561" s="20"/>
      <c r="J561" s="20"/>
      <c r="K561" s="2"/>
      <c r="L561" s="20"/>
      <c r="M561" s="20"/>
      <c r="N561" s="101">
        <f t="shared" si="19"/>
        <v>750000</v>
      </c>
      <c r="O561" s="680" t="s">
        <v>4250</v>
      </c>
    </row>
    <row r="562" spans="1:15" hidden="1" x14ac:dyDescent="0.25">
      <c r="A562" s="428">
        <f t="shared" si="20"/>
        <v>553</v>
      </c>
      <c r="B562" s="76" t="s">
        <v>87</v>
      </c>
      <c r="C562" s="662" t="s">
        <v>4254</v>
      </c>
      <c r="D562" s="439">
        <v>44725</v>
      </c>
      <c r="E562" s="441">
        <v>44805</v>
      </c>
      <c r="F562" s="450">
        <v>14850000</v>
      </c>
      <c r="G562" s="452">
        <v>15250000</v>
      </c>
      <c r="H562" s="573" t="s">
        <v>17</v>
      </c>
      <c r="I562" s="20"/>
      <c r="J562" s="20"/>
      <c r="K562" s="2"/>
      <c r="L562" s="20"/>
      <c r="M562" s="20"/>
      <c r="N562" s="94">
        <f t="shared" ref="N562:N625" si="21">G562-F562</f>
        <v>400000</v>
      </c>
      <c r="O562" s="713" t="s">
        <v>4459</v>
      </c>
    </row>
    <row r="563" spans="1:15" hidden="1" x14ac:dyDescent="0.25">
      <c r="A563" s="428">
        <f t="shared" si="20"/>
        <v>554</v>
      </c>
      <c r="B563" s="76" t="s">
        <v>87</v>
      </c>
      <c r="C563" s="662" t="s">
        <v>4255</v>
      </c>
      <c r="D563" s="439">
        <v>44725</v>
      </c>
      <c r="E563" s="441">
        <v>44714</v>
      </c>
      <c r="F563" s="450">
        <v>13500000</v>
      </c>
      <c r="G563" s="452">
        <v>14350000</v>
      </c>
      <c r="H563" s="573" t="s">
        <v>17</v>
      </c>
      <c r="I563" s="20"/>
      <c r="J563" s="20"/>
      <c r="K563" s="2"/>
      <c r="L563" s="20"/>
      <c r="M563" s="20"/>
      <c r="N563" s="101">
        <f t="shared" si="21"/>
        <v>850000</v>
      </c>
      <c r="O563" s="687" t="s">
        <v>4267</v>
      </c>
    </row>
    <row r="564" spans="1:15" hidden="1" x14ac:dyDescent="0.25">
      <c r="A564" s="428">
        <f t="shared" si="20"/>
        <v>555</v>
      </c>
      <c r="B564" s="434" t="s">
        <v>87</v>
      </c>
      <c r="C564" s="667" t="s">
        <v>4256</v>
      </c>
      <c r="D564" s="441">
        <v>44725</v>
      </c>
      <c r="E564" s="441">
        <v>44748</v>
      </c>
      <c r="F564" s="455">
        <v>12750000</v>
      </c>
      <c r="G564" s="454">
        <v>13500000</v>
      </c>
      <c r="H564" s="573" t="s">
        <v>17</v>
      </c>
      <c r="I564" s="94"/>
      <c r="J564" s="94"/>
      <c r="K564" s="3"/>
      <c r="L564" s="94"/>
      <c r="M564" s="94"/>
      <c r="N564" s="101">
        <f t="shared" si="21"/>
        <v>750000</v>
      </c>
      <c r="O564" s="689" t="s">
        <v>4269</v>
      </c>
    </row>
    <row r="565" spans="1:15" hidden="1" x14ac:dyDescent="0.25">
      <c r="A565" s="428">
        <f t="shared" si="20"/>
        <v>556</v>
      </c>
      <c r="B565" s="76" t="s">
        <v>435</v>
      </c>
      <c r="C565" s="662" t="s">
        <v>4262</v>
      </c>
      <c r="D565" s="439">
        <v>44730</v>
      </c>
      <c r="E565" s="441">
        <v>44733</v>
      </c>
      <c r="F565" s="450">
        <v>17250000</v>
      </c>
      <c r="G565" s="452">
        <v>19500000</v>
      </c>
      <c r="H565" s="573" t="s">
        <v>17</v>
      </c>
      <c r="I565" s="20"/>
      <c r="J565" s="20"/>
      <c r="K565" s="2"/>
      <c r="L565" s="20"/>
      <c r="M565" s="20"/>
      <c r="N565" s="94">
        <f t="shared" si="21"/>
        <v>2250000</v>
      </c>
      <c r="O565" s="682" t="s">
        <v>4261</v>
      </c>
    </row>
    <row r="566" spans="1:15" hidden="1" x14ac:dyDescent="0.25">
      <c r="A566" s="428">
        <f t="shared" si="20"/>
        <v>557</v>
      </c>
      <c r="B566" s="76" t="s">
        <v>435</v>
      </c>
      <c r="C566" s="662" t="s">
        <v>4268</v>
      </c>
      <c r="D566" s="439">
        <v>44730</v>
      </c>
      <c r="E566" s="441">
        <v>44732</v>
      </c>
      <c r="F566" s="450">
        <v>17250000</v>
      </c>
      <c r="G566" s="452">
        <v>17250000</v>
      </c>
      <c r="H566" s="573" t="s">
        <v>17</v>
      </c>
      <c r="I566" s="20"/>
      <c r="J566" s="20"/>
      <c r="K566" s="2"/>
      <c r="L566" s="20"/>
      <c r="M566" s="20"/>
      <c r="N566" s="94">
        <f t="shared" si="21"/>
        <v>0</v>
      </c>
      <c r="O566" s="682" t="s">
        <v>4261</v>
      </c>
    </row>
    <row r="567" spans="1:15" hidden="1" x14ac:dyDescent="0.25">
      <c r="A567" s="428">
        <f t="shared" ref="A567:A630" si="22">A566+1</f>
        <v>558</v>
      </c>
      <c r="B567" s="76" t="s">
        <v>435</v>
      </c>
      <c r="C567" s="662" t="s">
        <v>4263</v>
      </c>
      <c r="D567" s="439">
        <v>44730</v>
      </c>
      <c r="E567" s="441">
        <v>44779</v>
      </c>
      <c r="F567" s="450">
        <v>17250000</v>
      </c>
      <c r="G567" s="452">
        <v>18250000</v>
      </c>
      <c r="H567" s="573" t="s">
        <v>17</v>
      </c>
      <c r="I567" s="20"/>
      <c r="J567" s="20"/>
      <c r="K567" s="2"/>
      <c r="L567" s="20"/>
      <c r="M567" s="20"/>
      <c r="N567" s="94">
        <f t="shared" si="21"/>
        <v>1000000</v>
      </c>
      <c r="O567" s="699" t="s">
        <v>4430</v>
      </c>
    </row>
    <row r="568" spans="1:15" hidden="1" x14ac:dyDescent="0.25">
      <c r="A568" s="428">
        <f t="shared" si="22"/>
        <v>559</v>
      </c>
      <c r="B568" s="76" t="s">
        <v>435</v>
      </c>
      <c r="C568" s="662" t="s">
        <v>4264</v>
      </c>
      <c r="D568" s="439">
        <v>44732</v>
      </c>
      <c r="E568" s="441">
        <v>44714</v>
      </c>
      <c r="F568" s="450">
        <v>15750000</v>
      </c>
      <c r="G568" s="452">
        <v>17250000</v>
      </c>
      <c r="H568" s="573" t="s">
        <v>17</v>
      </c>
      <c r="I568" s="20"/>
      <c r="J568" s="20"/>
      <c r="K568" s="2"/>
      <c r="L568" s="20"/>
      <c r="M568" s="20"/>
      <c r="N568" s="101">
        <f t="shared" si="21"/>
        <v>1500000</v>
      </c>
      <c r="O568" s="687" t="s">
        <v>4267</v>
      </c>
    </row>
    <row r="569" spans="1:15" hidden="1" x14ac:dyDescent="0.25">
      <c r="A569" s="428">
        <f t="shared" si="22"/>
        <v>560</v>
      </c>
      <c r="B569" s="76" t="s">
        <v>435</v>
      </c>
      <c r="C569" s="662" t="s">
        <v>4265</v>
      </c>
      <c r="D569" s="439">
        <v>44732</v>
      </c>
      <c r="E569" s="441">
        <v>44763</v>
      </c>
      <c r="F569" s="450">
        <v>15750000</v>
      </c>
      <c r="G569" s="452">
        <v>17500000</v>
      </c>
      <c r="H569" s="573" t="s">
        <v>17</v>
      </c>
      <c r="I569" s="20"/>
      <c r="J569" s="20"/>
      <c r="K569" s="2"/>
      <c r="L569" s="20"/>
      <c r="M569" s="20"/>
      <c r="N569" s="101">
        <f t="shared" si="21"/>
        <v>1750000</v>
      </c>
      <c r="O569" s="695" t="s">
        <v>4282</v>
      </c>
    </row>
    <row r="570" spans="1:15" hidden="1" x14ac:dyDescent="0.25">
      <c r="A570" s="428">
        <f t="shared" si="22"/>
        <v>561</v>
      </c>
      <c r="B570" s="434" t="s">
        <v>435</v>
      </c>
      <c r="C570" s="667" t="s">
        <v>4266</v>
      </c>
      <c r="D570" s="686">
        <v>44732</v>
      </c>
      <c r="E570" s="441">
        <v>44764</v>
      </c>
      <c r="F570" s="455">
        <v>15750000</v>
      </c>
      <c r="G570" s="454">
        <v>17500000</v>
      </c>
      <c r="H570" s="573" t="s">
        <v>17</v>
      </c>
      <c r="I570" s="428"/>
      <c r="J570" s="426"/>
      <c r="K570" s="426"/>
      <c r="L570" s="426"/>
      <c r="M570" s="426"/>
      <c r="N570" s="94">
        <f t="shared" si="21"/>
        <v>1750000</v>
      </c>
      <c r="O570" s="695" t="s">
        <v>4282</v>
      </c>
    </row>
    <row r="571" spans="1:15" hidden="1" x14ac:dyDescent="0.25">
      <c r="A571" s="428">
        <f t="shared" si="22"/>
        <v>562</v>
      </c>
      <c r="B571" s="434" t="s">
        <v>435</v>
      </c>
      <c r="C571" s="667" t="s">
        <v>4270</v>
      </c>
      <c r="D571" s="686">
        <v>44741</v>
      </c>
      <c r="E571" s="441">
        <v>44763</v>
      </c>
      <c r="F571" s="455">
        <v>16500000</v>
      </c>
      <c r="G571" s="454">
        <v>17750000</v>
      </c>
      <c r="H571" s="573" t="s">
        <v>17</v>
      </c>
      <c r="I571" s="426"/>
      <c r="J571" s="426"/>
      <c r="K571" s="426"/>
      <c r="L571" s="426"/>
      <c r="M571" s="426"/>
      <c r="N571" s="94">
        <f t="shared" si="21"/>
        <v>1250000</v>
      </c>
      <c r="O571" s="695" t="s">
        <v>4282</v>
      </c>
    </row>
    <row r="572" spans="1:15" hidden="1" x14ac:dyDescent="0.25">
      <c r="A572" s="428">
        <f t="shared" si="22"/>
        <v>563</v>
      </c>
      <c r="B572" s="670" t="s">
        <v>224</v>
      </c>
      <c r="C572" s="662" t="s">
        <v>4273</v>
      </c>
      <c r="D572" s="276">
        <v>44752</v>
      </c>
      <c r="E572" s="441">
        <v>44753</v>
      </c>
      <c r="F572" s="450">
        <v>9500000</v>
      </c>
      <c r="G572" s="452">
        <v>10250000</v>
      </c>
      <c r="H572" s="573" t="s">
        <v>17</v>
      </c>
      <c r="I572" s="452"/>
      <c r="J572" s="460"/>
      <c r="K572" s="428"/>
      <c r="L572" s="428"/>
      <c r="M572" s="428"/>
      <c r="N572" s="101">
        <f t="shared" si="21"/>
        <v>750000</v>
      </c>
      <c r="O572" s="691" t="s">
        <v>4271</v>
      </c>
    </row>
    <row r="573" spans="1:15" hidden="1" x14ac:dyDescent="0.25">
      <c r="A573" s="428">
        <f t="shared" si="22"/>
        <v>564</v>
      </c>
      <c r="B573" s="670" t="s">
        <v>224</v>
      </c>
      <c r="C573" s="662" t="s">
        <v>4272</v>
      </c>
      <c r="D573" s="276">
        <v>44752</v>
      </c>
      <c r="E573" s="441">
        <v>44753</v>
      </c>
      <c r="F573" s="450">
        <v>9500000</v>
      </c>
      <c r="G573" s="452">
        <v>10750000</v>
      </c>
      <c r="H573" s="573" t="s">
        <v>17</v>
      </c>
      <c r="I573" s="428"/>
      <c r="J573" s="428"/>
      <c r="K573" s="428"/>
      <c r="L573" s="428"/>
      <c r="M573" s="428"/>
      <c r="N573" s="101">
        <f t="shared" si="21"/>
        <v>1250000</v>
      </c>
      <c r="O573" s="691" t="s">
        <v>4271</v>
      </c>
    </row>
    <row r="574" spans="1:15" hidden="1" x14ac:dyDescent="0.25">
      <c r="A574" s="428">
        <f t="shared" si="22"/>
        <v>565</v>
      </c>
      <c r="B574" s="670" t="s">
        <v>224</v>
      </c>
      <c r="C574" s="662" t="s">
        <v>4275</v>
      </c>
      <c r="D574" s="276">
        <v>44752</v>
      </c>
      <c r="E574" s="441">
        <v>44754</v>
      </c>
      <c r="F574" s="450">
        <v>9500000</v>
      </c>
      <c r="G574" s="452">
        <v>10750000</v>
      </c>
      <c r="H574" s="573" t="s">
        <v>17</v>
      </c>
      <c r="I574" s="428"/>
      <c r="J574" s="428"/>
      <c r="K574" s="428"/>
      <c r="L574" s="428"/>
      <c r="M574" s="428"/>
      <c r="N574" s="94">
        <f t="shared" si="21"/>
        <v>1250000</v>
      </c>
      <c r="O574" s="691" t="s">
        <v>4271</v>
      </c>
    </row>
    <row r="575" spans="1:15" hidden="1" x14ac:dyDescent="0.25">
      <c r="A575" s="428">
        <f t="shared" si="22"/>
        <v>566</v>
      </c>
      <c r="B575" s="670" t="s">
        <v>224</v>
      </c>
      <c r="C575" s="662" t="s">
        <v>4276</v>
      </c>
      <c r="D575" s="276">
        <v>44752</v>
      </c>
      <c r="E575" s="441">
        <v>44837</v>
      </c>
      <c r="F575" s="450">
        <v>9600000</v>
      </c>
      <c r="G575" s="452">
        <v>10250000</v>
      </c>
      <c r="H575" s="573" t="s">
        <v>17</v>
      </c>
      <c r="I575" s="428"/>
      <c r="J575" s="428"/>
      <c r="K575" s="428"/>
      <c r="L575" s="428"/>
      <c r="M575" s="428"/>
      <c r="N575" s="101">
        <f t="shared" si="21"/>
        <v>650000</v>
      </c>
      <c r="O575" s="722" t="s">
        <v>4686</v>
      </c>
    </row>
    <row r="576" spans="1:15" hidden="1" x14ac:dyDescent="0.25">
      <c r="A576" s="428">
        <f t="shared" si="22"/>
        <v>567</v>
      </c>
      <c r="B576" s="670" t="s">
        <v>224</v>
      </c>
      <c r="C576" s="662" t="s">
        <v>4277</v>
      </c>
      <c r="D576" s="276">
        <v>44752</v>
      </c>
      <c r="E576" s="441">
        <v>44762</v>
      </c>
      <c r="F576" s="450">
        <v>9500000</v>
      </c>
      <c r="G576" s="452">
        <v>10750000</v>
      </c>
      <c r="H576" s="573" t="s">
        <v>17</v>
      </c>
      <c r="I576" s="428"/>
      <c r="J576" s="428"/>
      <c r="K576" s="428"/>
      <c r="L576" s="428"/>
      <c r="M576" s="428"/>
      <c r="N576" s="94">
        <f t="shared" si="21"/>
        <v>1250000</v>
      </c>
      <c r="O576" s="695" t="s">
        <v>4282</v>
      </c>
    </row>
    <row r="577" spans="1:15" hidden="1" x14ac:dyDescent="0.25">
      <c r="A577" s="428">
        <f t="shared" si="22"/>
        <v>568</v>
      </c>
      <c r="B577" s="670" t="s">
        <v>224</v>
      </c>
      <c r="C577" s="662" t="s">
        <v>4278</v>
      </c>
      <c r="D577" s="276">
        <v>44752</v>
      </c>
      <c r="E577" s="441">
        <v>44762</v>
      </c>
      <c r="F577" s="450">
        <v>9500000</v>
      </c>
      <c r="G577" s="452">
        <v>10750000</v>
      </c>
      <c r="H577" s="573" t="s">
        <v>17</v>
      </c>
      <c r="I577" s="428"/>
      <c r="J577" s="428"/>
      <c r="K577" s="428"/>
      <c r="L577" s="428"/>
      <c r="M577" s="428"/>
      <c r="N577" s="94">
        <f t="shared" si="21"/>
        <v>1250000</v>
      </c>
      <c r="O577" s="695" t="s">
        <v>4282</v>
      </c>
    </row>
    <row r="578" spans="1:15" hidden="1" x14ac:dyDescent="0.25">
      <c r="A578" s="428">
        <f t="shared" si="22"/>
        <v>569</v>
      </c>
      <c r="B578" s="670" t="s">
        <v>224</v>
      </c>
      <c r="C578" s="662" t="s">
        <v>4279</v>
      </c>
      <c r="D578" s="276">
        <v>44752</v>
      </c>
      <c r="E578" s="441">
        <v>44772</v>
      </c>
      <c r="F578" s="450">
        <v>9500000</v>
      </c>
      <c r="G578" s="452">
        <v>10500000</v>
      </c>
      <c r="H578" s="573" t="s">
        <v>17</v>
      </c>
      <c r="I578" s="428"/>
      <c r="J578" s="428"/>
      <c r="K578" s="428"/>
      <c r="L578" s="428"/>
      <c r="M578" s="428"/>
      <c r="N578" s="101">
        <f t="shared" si="21"/>
        <v>1000000</v>
      </c>
      <c r="O578" s="697" t="s">
        <v>4345</v>
      </c>
    </row>
    <row r="579" spans="1:15" hidden="1" x14ac:dyDescent="0.25">
      <c r="A579" s="428">
        <f t="shared" si="22"/>
        <v>570</v>
      </c>
      <c r="B579" s="670" t="s">
        <v>224</v>
      </c>
      <c r="C579" s="662" t="s">
        <v>4281</v>
      </c>
      <c r="D579" s="276">
        <v>44752</v>
      </c>
      <c r="E579" s="441">
        <v>44785</v>
      </c>
      <c r="F579" s="450">
        <v>9600000</v>
      </c>
      <c r="G579" s="452">
        <v>10350000</v>
      </c>
      <c r="H579" s="573" t="s">
        <v>17</v>
      </c>
      <c r="I579" s="428"/>
      <c r="J579" s="428"/>
      <c r="K579" s="428"/>
      <c r="L579" s="428"/>
      <c r="M579" s="428"/>
      <c r="N579" s="101">
        <f t="shared" si="21"/>
        <v>750000</v>
      </c>
      <c r="O579" s="701" t="s">
        <v>4442</v>
      </c>
    </row>
    <row r="580" spans="1:15" hidden="1" x14ac:dyDescent="0.25">
      <c r="A580" s="428">
        <f t="shared" si="22"/>
        <v>571</v>
      </c>
      <c r="B580" s="672" t="s">
        <v>224</v>
      </c>
      <c r="C580" s="667" t="s">
        <v>4280</v>
      </c>
      <c r="D580" s="686">
        <v>44752</v>
      </c>
      <c r="E580" s="441">
        <v>44755</v>
      </c>
      <c r="F580" s="455">
        <v>11000000</v>
      </c>
      <c r="G580" s="454">
        <v>12750000</v>
      </c>
      <c r="H580" s="573" t="s">
        <v>17</v>
      </c>
      <c r="I580" s="426"/>
      <c r="J580" s="426"/>
      <c r="K580" s="426"/>
      <c r="L580" s="426"/>
      <c r="M580" s="426"/>
      <c r="N580" s="94">
        <f t="shared" si="21"/>
        <v>1750000</v>
      </c>
      <c r="O580" s="691" t="s">
        <v>4271</v>
      </c>
    </row>
    <row r="581" spans="1:15" hidden="1" x14ac:dyDescent="0.25">
      <c r="A581" s="428">
        <f t="shared" si="22"/>
        <v>572</v>
      </c>
      <c r="B581" s="670" t="s">
        <v>224</v>
      </c>
      <c r="C581" s="662" t="s">
        <v>4431</v>
      </c>
      <c r="D581" s="439">
        <v>44772</v>
      </c>
      <c r="E581" s="441">
        <v>44817</v>
      </c>
      <c r="F581" s="450">
        <v>9600000</v>
      </c>
      <c r="G581" s="452">
        <v>10250000</v>
      </c>
      <c r="H581" s="573" t="s">
        <v>17</v>
      </c>
      <c r="I581" s="107"/>
      <c r="J581" s="107"/>
      <c r="K581" s="128"/>
      <c r="L581" s="107"/>
      <c r="M581" s="107"/>
      <c r="N581" s="101">
        <f t="shared" si="21"/>
        <v>650000</v>
      </c>
      <c r="O581" s="689" t="s">
        <v>4468</v>
      </c>
    </row>
    <row r="582" spans="1:15" hidden="1" x14ac:dyDescent="0.25">
      <c r="A582" s="428">
        <f t="shared" si="22"/>
        <v>573</v>
      </c>
      <c r="B582" s="670" t="s">
        <v>224</v>
      </c>
      <c r="C582" s="662" t="s">
        <v>4432</v>
      </c>
      <c r="D582" s="439">
        <v>44772</v>
      </c>
      <c r="E582" s="441">
        <v>44785</v>
      </c>
      <c r="F582" s="450">
        <v>9600000</v>
      </c>
      <c r="G582" s="452">
        <v>10500000</v>
      </c>
      <c r="H582" s="573" t="s">
        <v>17</v>
      </c>
      <c r="I582" s="107"/>
      <c r="J582" s="107"/>
      <c r="K582" s="128"/>
      <c r="L582" s="107"/>
      <c r="M582" s="107"/>
      <c r="N582" s="101">
        <f t="shared" si="21"/>
        <v>900000</v>
      </c>
      <c r="O582" s="701" t="s">
        <v>4442</v>
      </c>
    </row>
    <row r="583" spans="1:15" hidden="1" x14ac:dyDescent="0.25">
      <c r="A583" s="428">
        <f t="shared" si="22"/>
        <v>574</v>
      </c>
      <c r="B583" s="670" t="s">
        <v>224</v>
      </c>
      <c r="C583" s="662" t="s">
        <v>4433</v>
      </c>
      <c r="D583" s="439">
        <v>44772</v>
      </c>
      <c r="E583" s="441">
        <v>44824</v>
      </c>
      <c r="F583" s="450">
        <v>9600000</v>
      </c>
      <c r="G583" s="452">
        <v>9750000</v>
      </c>
      <c r="H583" s="573" t="s">
        <v>17</v>
      </c>
      <c r="I583" s="107"/>
      <c r="J583" s="107"/>
      <c r="K583" s="128"/>
      <c r="L583" s="107"/>
      <c r="M583" s="107"/>
      <c r="N583" s="101">
        <f t="shared" si="21"/>
        <v>150000</v>
      </c>
      <c r="O583" s="717" t="s">
        <v>4661</v>
      </c>
    </row>
    <row r="584" spans="1:15" hidden="1" x14ac:dyDescent="0.25">
      <c r="A584" s="428">
        <f t="shared" si="22"/>
        <v>575</v>
      </c>
      <c r="B584" s="670" t="s">
        <v>224</v>
      </c>
      <c r="C584" s="662" t="s">
        <v>4434</v>
      </c>
      <c r="D584" s="439">
        <v>44772</v>
      </c>
      <c r="E584" s="441">
        <v>44779</v>
      </c>
      <c r="F584" s="450">
        <v>9600000</v>
      </c>
      <c r="G584" s="452">
        <v>10850000</v>
      </c>
      <c r="H584" s="573" t="s">
        <v>17</v>
      </c>
      <c r="I584" s="107"/>
      <c r="J584" s="107"/>
      <c r="K584" s="128"/>
      <c r="L584" s="107"/>
      <c r="M584" s="107"/>
      <c r="N584" s="94">
        <f t="shared" si="21"/>
        <v>1250000</v>
      </c>
      <c r="O584" s="699" t="s">
        <v>4430</v>
      </c>
    </row>
    <row r="585" spans="1:15" hidden="1" x14ac:dyDescent="0.25">
      <c r="A585" s="428">
        <f t="shared" si="22"/>
        <v>576</v>
      </c>
      <c r="B585" s="670" t="s">
        <v>224</v>
      </c>
      <c r="C585" s="662" t="s">
        <v>4435</v>
      </c>
      <c r="D585" s="439">
        <v>44772</v>
      </c>
      <c r="E585" s="441">
        <v>44781</v>
      </c>
      <c r="F585" s="450">
        <v>9600000</v>
      </c>
      <c r="G585" s="452">
        <v>10500000</v>
      </c>
      <c r="H585" s="573" t="s">
        <v>17</v>
      </c>
      <c r="I585" s="107"/>
      <c r="J585" s="107"/>
      <c r="K585" s="128"/>
      <c r="L585" s="107"/>
      <c r="M585" s="107"/>
      <c r="N585" s="101">
        <f t="shared" si="21"/>
        <v>900000</v>
      </c>
      <c r="O585" s="701" t="s">
        <v>4442</v>
      </c>
    </row>
    <row r="586" spans="1:15" hidden="1" x14ac:dyDescent="0.25">
      <c r="A586" s="428">
        <f t="shared" si="22"/>
        <v>577</v>
      </c>
      <c r="B586" s="670" t="s">
        <v>224</v>
      </c>
      <c r="C586" s="662" t="s">
        <v>4436</v>
      </c>
      <c r="D586" s="439">
        <v>44772</v>
      </c>
      <c r="E586" s="441">
        <v>44789</v>
      </c>
      <c r="F586" s="450">
        <v>9600000</v>
      </c>
      <c r="G586" s="452">
        <v>10500000</v>
      </c>
      <c r="H586" s="573" t="s">
        <v>17</v>
      </c>
      <c r="I586" s="107"/>
      <c r="J586" s="107"/>
      <c r="K586" s="128"/>
      <c r="L586" s="107"/>
      <c r="M586" s="107"/>
      <c r="N586" s="101">
        <f t="shared" si="21"/>
        <v>900000</v>
      </c>
      <c r="O586" s="703" t="s">
        <v>4443</v>
      </c>
    </row>
    <row r="587" spans="1:15" hidden="1" x14ac:dyDescent="0.25">
      <c r="A587" s="428">
        <f t="shared" si="22"/>
        <v>578</v>
      </c>
      <c r="B587" s="670" t="s">
        <v>224</v>
      </c>
      <c r="C587" s="662" t="s">
        <v>4437</v>
      </c>
      <c r="D587" s="439">
        <v>44772</v>
      </c>
      <c r="E587" s="441">
        <v>44779</v>
      </c>
      <c r="F587" s="450">
        <v>9600000</v>
      </c>
      <c r="G587" s="452">
        <v>10750000</v>
      </c>
      <c r="H587" s="573" t="s">
        <v>17</v>
      </c>
      <c r="I587" s="107"/>
      <c r="J587" s="107"/>
      <c r="K587" s="128"/>
      <c r="L587" s="107"/>
      <c r="M587" s="107"/>
      <c r="N587" s="94">
        <f t="shared" si="21"/>
        <v>1150000</v>
      </c>
      <c r="O587" s="699" t="s">
        <v>4430</v>
      </c>
    </row>
    <row r="588" spans="1:15" hidden="1" x14ac:dyDescent="0.25">
      <c r="A588" s="428">
        <f t="shared" si="22"/>
        <v>579</v>
      </c>
      <c r="B588" s="670" t="s">
        <v>224</v>
      </c>
      <c r="C588" s="662" t="s">
        <v>4438</v>
      </c>
      <c r="D588" s="439">
        <v>44772</v>
      </c>
      <c r="E588" s="441">
        <v>44797</v>
      </c>
      <c r="F588" s="450">
        <v>9600000</v>
      </c>
      <c r="G588" s="452">
        <v>10750000</v>
      </c>
      <c r="H588" s="573" t="s">
        <v>17</v>
      </c>
      <c r="I588" s="107"/>
      <c r="J588" s="107"/>
      <c r="K588" s="128"/>
      <c r="L588" s="107"/>
      <c r="M588" s="107"/>
      <c r="N588" s="101">
        <f t="shared" si="21"/>
        <v>1150000</v>
      </c>
      <c r="O588" s="706" t="s">
        <v>4446</v>
      </c>
    </row>
    <row r="589" spans="1:15" hidden="1" x14ac:dyDescent="0.25">
      <c r="A589" s="428">
        <f t="shared" si="22"/>
        <v>580</v>
      </c>
      <c r="B589" s="670" t="s">
        <v>224</v>
      </c>
      <c r="C589" s="662" t="s">
        <v>4439</v>
      </c>
      <c r="D589" s="439">
        <v>44772</v>
      </c>
      <c r="E589" s="441">
        <v>44821</v>
      </c>
      <c r="F589" s="450">
        <v>9600000</v>
      </c>
      <c r="G589" s="452">
        <v>10650000</v>
      </c>
      <c r="H589" s="573" t="s">
        <v>17</v>
      </c>
      <c r="I589" s="107"/>
      <c r="J589" s="107"/>
      <c r="K589" s="128"/>
      <c r="L589" s="107"/>
      <c r="M589" s="107"/>
      <c r="N589" s="101">
        <f t="shared" si="21"/>
        <v>1050000</v>
      </c>
      <c r="O589" s="689" t="s">
        <v>4468</v>
      </c>
    </row>
    <row r="590" spans="1:15" hidden="1" x14ac:dyDescent="0.25">
      <c r="A590" s="428">
        <f t="shared" si="22"/>
        <v>581</v>
      </c>
      <c r="B590" s="670" t="s">
        <v>224</v>
      </c>
      <c r="C590" s="662" t="s">
        <v>4440</v>
      </c>
      <c r="D590" s="439">
        <v>44772</v>
      </c>
      <c r="E590" s="441">
        <v>44786</v>
      </c>
      <c r="F590" s="450">
        <v>9600000</v>
      </c>
      <c r="G590" s="452">
        <v>10550000</v>
      </c>
      <c r="H590" s="573" t="s">
        <v>17</v>
      </c>
      <c r="I590" s="107"/>
      <c r="J590" s="107"/>
      <c r="K590" s="128"/>
      <c r="L590" s="107"/>
      <c r="M590" s="107"/>
      <c r="N590" s="101">
        <f t="shared" si="21"/>
        <v>950000</v>
      </c>
      <c r="O590" s="701" t="s">
        <v>4442</v>
      </c>
    </row>
    <row r="591" spans="1:15" hidden="1" x14ac:dyDescent="0.25">
      <c r="A591" s="428">
        <f t="shared" si="22"/>
        <v>582</v>
      </c>
      <c r="B591" s="672" t="s">
        <v>224</v>
      </c>
      <c r="C591" s="667" t="s">
        <v>4441</v>
      </c>
      <c r="D591" s="441">
        <v>44772</v>
      </c>
      <c r="E591" s="441">
        <v>44779</v>
      </c>
      <c r="F591" s="455">
        <v>9600000</v>
      </c>
      <c r="G591" s="454">
        <v>10850000</v>
      </c>
      <c r="H591" s="573" t="s">
        <v>17</v>
      </c>
      <c r="I591" s="137"/>
      <c r="J591" s="137"/>
      <c r="K591" s="257"/>
      <c r="L591" s="137"/>
      <c r="M591" s="137"/>
      <c r="N591" s="94">
        <f t="shared" si="21"/>
        <v>1250000</v>
      </c>
      <c r="O591" s="699" t="s">
        <v>4430</v>
      </c>
    </row>
    <row r="592" spans="1:15" hidden="1" x14ac:dyDescent="0.25">
      <c r="A592" s="426">
        <f t="shared" si="22"/>
        <v>583</v>
      </c>
      <c r="B592" s="434" t="s">
        <v>434</v>
      </c>
      <c r="C592" s="667" t="s">
        <v>4447</v>
      </c>
      <c r="D592" s="441">
        <v>44778</v>
      </c>
      <c r="E592" s="441">
        <v>44802</v>
      </c>
      <c r="F592" s="454">
        <v>16100000</v>
      </c>
      <c r="G592" s="454">
        <v>18750000</v>
      </c>
      <c r="H592" s="573" t="s">
        <v>17</v>
      </c>
      <c r="I592" s="137"/>
      <c r="J592" s="137"/>
      <c r="K592" s="257"/>
      <c r="L592" s="137"/>
      <c r="M592" s="137"/>
      <c r="N592" s="101">
        <f t="shared" si="21"/>
        <v>2650000</v>
      </c>
      <c r="O592" s="713" t="s">
        <v>4459</v>
      </c>
    </row>
    <row r="593" spans="1:15" hidden="1" x14ac:dyDescent="0.25">
      <c r="A593" s="428">
        <f t="shared" si="22"/>
        <v>584</v>
      </c>
      <c r="B593" s="76" t="s">
        <v>224</v>
      </c>
      <c r="C593" s="662" t="s">
        <v>4448</v>
      </c>
      <c r="D593" s="439">
        <v>44793</v>
      </c>
      <c r="E593" s="441">
        <v>44806</v>
      </c>
      <c r="F593" s="452">
        <v>10600000</v>
      </c>
      <c r="G593" s="452">
        <v>12750000</v>
      </c>
      <c r="H593" s="573" t="s">
        <v>17</v>
      </c>
      <c r="I593" s="107"/>
      <c r="J593" s="107"/>
      <c r="K593" s="128"/>
      <c r="L593" s="107"/>
      <c r="M593" s="107"/>
      <c r="N593" s="101">
        <f t="shared" si="21"/>
        <v>2150000</v>
      </c>
      <c r="O593" s="713" t="s">
        <v>4459</v>
      </c>
    </row>
    <row r="594" spans="1:15" x14ac:dyDescent="0.25">
      <c r="A594" s="428">
        <f t="shared" si="22"/>
        <v>585</v>
      </c>
      <c r="B594" s="76" t="s">
        <v>224</v>
      </c>
      <c r="C594" s="662" t="s">
        <v>4460</v>
      </c>
      <c r="D594" s="439">
        <v>44793</v>
      </c>
      <c r="E594" s="615" t="s">
        <v>379</v>
      </c>
      <c r="F594" s="452">
        <v>11000000</v>
      </c>
      <c r="G594" s="476">
        <v>11000000</v>
      </c>
      <c r="H594" s="500" t="s">
        <v>380</v>
      </c>
      <c r="I594" s="107"/>
      <c r="J594" s="107"/>
      <c r="K594" s="128"/>
      <c r="L594" s="107"/>
      <c r="M594" s="107"/>
      <c r="N594" s="101">
        <f t="shared" si="21"/>
        <v>0</v>
      </c>
      <c r="O594" s="501"/>
    </row>
    <row r="595" spans="1:15" hidden="1" x14ac:dyDescent="0.25">
      <c r="A595" s="428">
        <f t="shared" si="22"/>
        <v>586</v>
      </c>
      <c r="B595" s="76" t="s">
        <v>4449</v>
      </c>
      <c r="C595" s="662" t="s">
        <v>4450</v>
      </c>
      <c r="D595" s="439">
        <v>44793</v>
      </c>
      <c r="E595" s="441">
        <v>44795</v>
      </c>
      <c r="F595" s="454">
        <v>20000000</v>
      </c>
      <c r="G595" s="454">
        <v>22000000</v>
      </c>
      <c r="H595" s="573" t="s">
        <v>17</v>
      </c>
      <c r="I595" s="107"/>
      <c r="J595" s="107"/>
      <c r="K595" s="128"/>
      <c r="L595" s="107"/>
      <c r="M595" s="107"/>
      <c r="N595" s="101">
        <f t="shared" si="21"/>
        <v>2000000</v>
      </c>
      <c r="O595" s="706" t="s">
        <v>4446</v>
      </c>
    </row>
    <row r="596" spans="1:15" hidden="1" x14ac:dyDescent="0.25">
      <c r="A596" s="428">
        <f t="shared" si="22"/>
        <v>587</v>
      </c>
      <c r="B596" s="76" t="s">
        <v>434</v>
      </c>
      <c r="C596" s="662" t="s">
        <v>4451</v>
      </c>
      <c r="D596" s="439">
        <v>44793</v>
      </c>
      <c r="E596" s="441">
        <v>44796</v>
      </c>
      <c r="F596" s="454">
        <v>16000000</v>
      </c>
      <c r="G596" s="454">
        <v>18450000</v>
      </c>
      <c r="H596" s="573" t="s">
        <v>17</v>
      </c>
      <c r="I596" s="107"/>
      <c r="J596" s="107"/>
      <c r="K596" s="128"/>
      <c r="L596" s="107"/>
      <c r="M596" s="107"/>
      <c r="N596" s="101">
        <f t="shared" si="21"/>
        <v>2450000</v>
      </c>
      <c r="O596" s="706" t="s">
        <v>4446</v>
      </c>
    </row>
    <row r="597" spans="1:15" hidden="1" x14ac:dyDescent="0.25">
      <c r="A597" s="428">
        <f t="shared" si="22"/>
        <v>588</v>
      </c>
      <c r="B597" s="76" t="s">
        <v>434</v>
      </c>
      <c r="C597" s="662" t="s">
        <v>4452</v>
      </c>
      <c r="D597" s="439">
        <v>44793</v>
      </c>
      <c r="E597" s="441">
        <v>44797</v>
      </c>
      <c r="F597" s="454">
        <v>16000000</v>
      </c>
      <c r="G597" s="454">
        <v>16750000</v>
      </c>
      <c r="H597" s="573" t="s">
        <v>17</v>
      </c>
      <c r="I597" s="107"/>
      <c r="J597" s="107"/>
      <c r="K597" s="128"/>
      <c r="L597" s="107"/>
      <c r="M597" s="107"/>
      <c r="N597" s="101">
        <f t="shared" si="21"/>
        <v>750000</v>
      </c>
      <c r="O597" s="706" t="s">
        <v>4446</v>
      </c>
    </row>
    <row r="598" spans="1:15" hidden="1" x14ac:dyDescent="0.25">
      <c r="A598" s="428">
        <f t="shared" si="22"/>
        <v>589</v>
      </c>
      <c r="B598" s="76" t="s">
        <v>434</v>
      </c>
      <c r="C598" s="662" t="s">
        <v>4453</v>
      </c>
      <c r="D598" s="439">
        <v>44793</v>
      </c>
      <c r="E598" s="441">
        <v>44795</v>
      </c>
      <c r="F598" s="454">
        <v>16000000</v>
      </c>
      <c r="G598" s="454">
        <v>16750000</v>
      </c>
      <c r="H598" s="573" t="s">
        <v>17</v>
      </c>
      <c r="I598" s="107"/>
      <c r="J598" s="107"/>
      <c r="K598" s="128"/>
      <c r="L598" s="107"/>
      <c r="M598" s="107"/>
      <c r="N598" s="101">
        <f t="shared" si="21"/>
        <v>750000</v>
      </c>
      <c r="O598" s="706" t="s">
        <v>4446</v>
      </c>
    </row>
    <row r="599" spans="1:15" hidden="1" x14ac:dyDescent="0.25">
      <c r="A599" s="428">
        <f t="shared" si="22"/>
        <v>590</v>
      </c>
      <c r="B599" s="76" t="s">
        <v>434</v>
      </c>
      <c r="C599" s="662" t="s">
        <v>4454</v>
      </c>
      <c r="D599" s="439">
        <v>44793</v>
      </c>
      <c r="E599" s="441">
        <v>44807</v>
      </c>
      <c r="F599" s="454">
        <v>16100000</v>
      </c>
      <c r="G599" s="454">
        <v>18250000</v>
      </c>
      <c r="H599" s="573" t="s">
        <v>17</v>
      </c>
      <c r="I599" s="107"/>
      <c r="J599" s="107"/>
      <c r="K599" s="128"/>
      <c r="L599" s="107"/>
      <c r="M599" s="107"/>
      <c r="N599" s="101">
        <f t="shared" si="21"/>
        <v>2150000</v>
      </c>
      <c r="O599" s="713" t="s">
        <v>4459</v>
      </c>
    </row>
    <row r="600" spans="1:15" hidden="1" x14ac:dyDescent="0.25">
      <c r="A600" s="428">
        <f t="shared" si="22"/>
        <v>591</v>
      </c>
      <c r="B600" s="76" t="s">
        <v>434</v>
      </c>
      <c r="C600" s="662" t="s">
        <v>4455</v>
      </c>
      <c r="D600" s="439">
        <v>44793</v>
      </c>
      <c r="E600" s="441">
        <v>44827</v>
      </c>
      <c r="F600" s="454">
        <v>16100000</v>
      </c>
      <c r="G600" s="454">
        <v>18750000</v>
      </c>
      <c r="H600" s="573" t="s">
        <v>17</v>
      </c>
      <c r="I600" s="107"/>
      <c r="J600" s="107"/>
      <c r="K600" s="128"/>
      <c r="L600" s="107"/>
      <c r="M600" s="107"/>
      <c r="N600" s="101">
        <f t="shared" si="21"/>
        <v>2650000</v>
      </c>
      <c r="O600" s="717" t="s">
        <v>4661</v>
      </c>
    </row>
    <row r="601" spans="1:15" hidden="1" x14ac:dyDescent="0.25">
      <c r="A601" s="426">
        <f t="shared" si="22"/>
        <v>592</v>
      </c>
      <c r="B601" s="434" t="s">
        <v>434</v>
      </c>
      <c r="C601" s="667" t="s">
        <v>4456</v>
      </c>
      <c r="D601" s="441">
        <v>44793</v>
      </c>
      <c r="E601" s="441">
        <v>44799</v>
      </c>
      <c r="F601" s="454">
        <v>16100000</v>
      </c>
      <c r="G601" s="454">
        <v>16550000</v>
      </c>
      <c r="H601" s="573" t="s">
        <v>17</v>
      </c>
      <c r="I601" s="107"/>
      <c r="J601" s="107"/>
      <c r="K601" s="128"/>
      <c r="L601" s="107"/>
      <c r="M601" s="107"/>
      <c r="N601" s="101">
        <f t="shared" si="21"/>
        <v>450000</v>
      </c>
      <c r="O601" s="713" t="s">
        <v>4459</v>
      </c>
    </row>
    <row r="602" spans="1:15" hidden="1" x14ac:dyDescent="0.25">
      <c r="A602" s="426">
        <f t="shared" si="22"/>
        <v>593</v>
      </c>
      <c r="B602" s="76" t="s">
        <v>309</v>
      </c>
      <c r="C602" s="662" t="s">
        <v>4462</v>
      </c>
      <c r="D602" s="439">
        <v>44801</v>
      </c>
      <c r="E602" s="441">
        <v>44847</v>
      </c>
      <c r="F602" s="452">
        <v>19700000</v>
      </c>
      <c r="G602" s="452">
        <v>19750000</v>
      </c>
      <c r="H602" s="573" t="s">
        <v>17</v>
      </c>
      <c r="I602" s="107"/>
      <c r="J602" s="107"/>
      <c r="K602" s="128"/>
      <c r="L602" s="107"/>
      <c r="M602" s="107"/>
      <c r="N602" s="101">
        <f t="shared" si="21"/>
        <v>50000</v>
      </c>
      <c r="O602" s="725" t="s">
        <v>4688</v>
      </c>
    </row>
    <row r="603" spans="1:15" hidden="1" x14ac:dyDescent="0.25">
      <c r="A603" s="708">
        <f>A601+1</f>
        <v>593</v>
      </c>
      <c r="B603" s="709" t="s">
        <v>434</v>
      </c>
      <c r="C603" s="710" t="s">
        <v>4457</v>
      </c>
      <c r="D603" s="711">
        <v>44793</v>
      </c>
      <c r="E603" s="711">
        <v>44795</v>
      </c>
      <c r="F603" s="712">
        <v>16000000</v>
      </c>
      <c r="G603" s="712">
        <v>16750000</v>
      </c>
      <c r="H603" s="573" t="s">
        <v>17</v>
      </c>
      <c r="I603" s="137"/>
      <c r="J603" s="137"/>
      <c r="K603" s="257"/>
      <c r="L603" s="137"/>
      <c r="M603" s="137"/>
      <c r="N603" s="101">
        <f t="shared" si="21"/>
        <v>750000</v>
      </c>
      <c r="O603" s="706" t="s">
        <v>4446</v>
      </c>
    </row>
    <row r="604" spans="1:15" hidden="1" x14ac:dyDescent="0.25">
      <c r="A604" s="426">
        <f t="shared" si="22"/>
        <v>594</v>
      </c>
      <c r="B604" s="76" t="s">
        <v>309</v>
      </c>
      <c r="C604" s="662" t="s">
        <v>4461</v>
      </c>
      <c r="D604" s="439">
        <v>44801</v>
      </c>
      <c r="E604" s="439">
        <v>44802</v>
      </c>
      <c r="F604" s="452">
        <v>19600000</v>
      </c>
      <c r="G604" s="452">
        <v>19750000</v>
      </c>
      <c r="H604" s="573" t="s">
        <v>17</v>
      </c>
      <c r="I604" s="107"/>
      <c r="J604" s="242"/>
      <c r="K604" s="128"/>
      <c r="L604" s="107"/>
      <c r="M604" s="107"/>
      <c r="N604" s="101">
        <f t="shared" si="21"/>
        <v>150000</v>
      </c>
      <c r="O604" s="713" t="s">
        <v>4459</v>
      </c>
    </row>
    <row r="605" spans="1:15" hidden="1" x14ac:dyDescent="0.25">
      <c r="A605" s="426">
        <f t="shared" si="22"/>
        <v>595</v>
      </c>
      <c r="B605" s="76" t="s">
        <v>309</v>
      </c>
      <c r="C605" s="662" t="s">
        <v>4463</v>
      </c>
      <c r="D605" s="439">
        <v>44801</v>
      </c>
      <c r="E605" s="439">
        <v>44802</v>
      </c>
      <c r="F605" s="452">
        <v>19600000</v>
      </c>
      <c r="G605" s="452">
        <v>19750000</v>
      </c>
      <c r="H605" s="573" t="s">
        <v>17</v>
      </c>
      <c r="I605" s="107"/>
      <c r="J605" s="242"/>
      <c r="K605" s="128"/>
      <c r="L605" s="107"/>
      <c r="M605" s="107"/>
      <c r="N605" s="101">
        <f t="shared" si="21"/>
        <v>150000</v>
      </c>
      <c r="O605" s="713" t="s">
        <v>4459</v>
      </c>
    </row>
    <row r="606" spans="1:15" hidden="1" x14ac:dyDescent="0.25">
      <c r="A606" s="426">
        <f t="shared" si="22"/>
        <v>596</v>
      </c>
      <c r="B606" s="76" t="s">
        <v>309</v>
      </c>
      <c r="C606" s="662" t="s">
        <v>4464</v>
      </c>
      <c r="D606" s="439">
        <v>44801</v>
      </c>
      <c r="E606" s="439">
        <v>44802</v>
      </c>
      <c r="F606" s="452">
        <v>19600000</v>
      </c>
      <c r="G606" s="452">
        <v>19750000</v>
      </c>
      <c r="H606" s="573" t="s">
        <v>17</v>
      </c>
      <c r="I606" s="107"/>
      <c r="J606" s="242"/>
      <c r="K606" s="128"/>
      <c r="L606" s="107"/>
      <c r="M606" s="107"/>
      <c r="N606" s="101">
        <f t="shared" si="21"/>
        <v>150000</v>
      </c>
      <c r="O606" s="713" t="s">
        <v>4459</v>
      </c>
    </row>
    <row r="607" spans="1:15" hidden="1" x14ac:dyDescent="0.25">
      <c r="A607" s="426">
        <f t="shared" si="22"/>
        <v>597</v>
      </c>
      <c r="B607" s="76" t="s">
        <v>309</v>
      </c>
      <c r="C607" s="662" t="s">
        <v>4465</v>
      </c>
      <c r="D607" s="439">
        <v>44801</v>
      </c>
      <c r="E607" s="441">
        <v>44852</v>
      </c>
      <c r="F607" s="452">
        <v>19600000</v>
      </c>
      <c r="G607" s="452">
        <v>20000000</v>
      </c>
      <c r="H607" s="573" t="s">
        <v>17</v>
      </c>
      <c r="I607" s="107"/>
      <c r="J607" s="107"/>
      <c r="K607" s="128"/>
      <c r="L607" s="107"/>
      <c r="M607" s="107"/>
      <c r="N607" s="101">
        <f t="shared" si="21"/>
        <v>400000</v>
      </c>
      <c r="O607" s="727" t="s">
        <v>4835</v>
      </c>
    </row>
    <row r="608" spans="1:15" x14ac:dyDescent="0.25">
      <c r="A608" s="426">
        <f t="shared" si="22"/>
        <v>598</v>
      </c>
      <c r="B608" s="434" t="s">
        <v>309</v>
      </c>
      <c r="C608" s="667" t="s">
        <v>4903</v>
      </c>
      <c r="D608" s="441">
        <v>44801</v>
      </c>
      <c r="E608" s="615" t="s">
        <v>379</v>
      </c>
      <c r="F608" s="454">
        <v>18600000</v>
      </c>
      <c r="G608" s="705">
        <v>18600000</v>
      </c>
      <c r="H608" s="500" t="s">
        <v>380</v>
      </c>
      <c r="I608" s="137"/>
      <c r="J608" s="137"/>
      <c r="K608" s="257"/>
      <c r="L608" s="137"/>
      <c r="M608" s="137"/>
      <c r="N608" s="101">
        <f t="shared" si="21"/>
        <v>0</v>
      </c>
      <c r="O608" s="501"/>
    </row>
    <row r="609" spans="1:15" hidden="1" x14ac:dyDescent="0.25">
      <c r="A609" s="426">
        <f t="shared" si="22"/>
        <v>599</v>
      </c>
      <c r="B609" s="76" t="s">
        <v>434</v>
      </c>
      <c r="C609" s="662" t="s">
        <v>4662</v>
      </c>
      <c r="D609" s="439">
        <v>44821</v>
      </c>
      <c r="E609" s="439">
        <v>44822</v>
      </c>
      <c r="F609" s="452">
        <v>16100000</v>
      </c>
      <c r="G609" s="452">
        <v>18000000</v>
      </c>
      <c r="H609" s="573" t="s">
        <v>17</v>
      </c>
      <c r="I609" s="107"/>
      <c r="J609" s="107"/>
      <c r="K609" s="128"/>
      <c r="L609" s="107"/>
      <c r="M609" s="107"/>
      <c r="N609" s="101">
        <f t="shared" si="21"/>
        <v>1900000</v>
      </c>
      <c r="O609" s="717" t="s">
        <v>4661</v>
      </c>
    </row>
    <row r="610" spans="1:15" hidden="1" x14ac:dyDescent="0.25">
      <c r="A610" s="426">
        <f t="shared" si="22"/>
        <v>600</v>
      </c>
      <c r="B610" s="76" t="s">
        <v>434</v>
      </c>
      <c r="C610" s="662" t="s">
        <v>4663</v>
      </c>
      <c r="D610" s="439">
        <v>44821</v>
      </c>
      <c r="E610" s="439">
        <v>44822</v>
      </c>
      <c r="F610" s="452">
        <v>16100000</v>
      </c>
      <c r="G610" s="452">
        <v>18000000</v>
      </c>
      <c r="H610" s="573" t="s">
        <v>17</v>
      </c>
      <c r="I610" s="107"/>
      <c r="J610" s="107"/>
      <c r="K610" s="128"/>
      <c r="L610" s="107"/>
      <c r="M610" s="107"/>
      <c r="N610" s="101">
        <f t="shared" si="21"/>
        <v>1900000</v>
      </c>
      <c r="O610" s="717" t="s">
        <v>4661</v>
      </c>
    </row>
    <row r="611" spans="1:15" hidden="1" x14ac:dyDescent="0.25">
      <c r="A611" s="426">
        <f t="shared" si="22"/>
        <v>601</v>
      </c>
      <c r="B611" s="76" t="s">
        <v>434</v>
      </c>
      <c r="C611" s="662" t="s">
        <v>4664</v>
      </c>
      <c r="D611" s="439">
        <v>44821</v>
      </c>
      <c r="E611" s="439">
        <v>44822</v>
      </c>
      <c r="F611" s="452">
        <v>16100000</v>
      </c>
      <c r="G611" s="452">
        <v>17000000</v>
      </c>
      <c r="H611" s="573" t="s">
        <v>17</v>
      </c>
      <c r="I611" s="107"/>
      <c r="J611" s="107"/>
      <c r="K611" s="128"/>
      <c r="L611" s="107"/>
      <c r="M611" s="107"/>
      <c r="N611" s="101">
        <f t="shared" si="21"/>
        <v>900000</v>
      </c>
      <c r="O611" s="717" t="s">
        <v>4661</v>
      </c>
    </row>
    <row r="612" spans="1:15" hidden="1" x14ac:dyDescent="0.25">
      <c r="A612" s="426">
        <f t="shared" si="22"/>
        <v>602</v>
      </c>
      <c r="B612" s="76" t="s">
        <v>434</v>
      </c>
      <c r="C612" s="662" t="s">
        <v>4665</v>
      </c>
      <c r="D612" s="439">
        <v>44821</v>
      </c>
      <c r="E612" s="441">
        <v>44855</v>
      </c>
      <c r="F612" s="452">
        <v>17000000</v>
      </c>
      <c r="G612" s="452">
        <v>17750000</v>
      </c>
      <c r="H612" s="573" t="s">
        <v>17</v>
      </c>
      <c r="I612" s="107"/>
      <c r="J612" s="107"/>
      <c r="K612" s="128"/>
      <c r="L612" s="107"/>
      <c r="M612" s="107"/>
      <c r="N612" s="101">
        <f t="shared" si="21"/>
        <v>750000</v>
      </c>
      <c r="O612" s="727" t="s">
        <v>4835</v>
      </c>
    </row>
    <row r="613" spans="1:15" hidden="1" x14ac:dyDescent="0.25">
      <c r="A613" s="426">
        <f t="shared" si="22"/>
        <v>603</v>
      </c>
      <c r="B613" s="76" t="s">
        <v>434</v>
      </c>
      <c r="C613" s="662" t="s">
        <v>4666</v>
      </c>
      <c r="D613" s="439">
        <v>44821</v>
      </c>
      <c r="E613" s="441">
        <v>44831</v>
      </c>
      <c r="F613" s="452">
        <v>16100000</v>
      </c>
      <c r="G613" s="452">
        <v>17250000</v>
      </c>
      <c r="H613" s="573" t="s">
        <v>17</v>
      </c>
      <c r="I613" s="107"/>
      <c r="J613" s="107"/>
      <c r="K613" s="128"/>
      <c r="L613" s="107"/>
      <c r="M613" s="107"/>
      <c r="N613" s="101">
        <f t="shared" si="21"/>
        <v>1150000</v>
      </c>
      <c r="O613" s="719" t="s">
        <v>4669</v>
      </c>
    </row>
    <row r="614" spans="1:15" hidden="1" x14ac:dyDescent="0.25">
      <c r="A614" s="426">
        <f t="shared" si="22"/>
        <v>604</v>
      </c>
      <c r="B614" s="76" t="s">
        <v>434</v>
      </c>
      <c r="C614" s="662" t="s">
        <v>4667</v>
      </c>
      <c r="D614" s="439">
        <v>44821</v>
      </c>
      <c r="E614" s="441">
        <v>44831</v>
      </c>
      <c r="F614" s="452">
        <v>16100000</v>
      </c>
      <c r="G614" s="452">
        <v>17900000</v>
      </c>
      <c r="H614" s="573" t="s">
        <v>17</v>
      </c>
      <c r="I614" s="107"/>
      <c r="J614" s="107"/>
      <c r="K614" s="128"/>
      <c r="L614" s="107"/>
      <c r="M614" s="107"/>
      <c r="N614" s="101">
        <f t="shared" si="21"/>
        <v>1800000</v>
      </c>
      <c r="O614" s="719" t="s">
        <v>4669</v>
      </c>
    </row>
    <row r="615" spans="1:15" x14ac:dyDescent="0.25">
      <c r="A615" s="426">
        <f t="shared" si="22"/>
        <v>605</v>
      </c>
      <c r="B615" s="76" t="s">
        <v>434</v>
      </c>
      <c r="C615" s="662" t="s">
        <v>4668</v>
      </c>
      <c r="D615" s="439">
        <v>44821</v>
      </c>
      <c r="E615" s="615" t="s">
        <v>379</v>
      </c>
      <c r="F615" s="452">
        <v>17000000</v>
      </c>
      <c r="G615" s="476">
        <v>17000000</v>
      </c>
      <c r="H615" s="500" t="s">
        <v>380</v>
      </c>
      <c r="I615" s="107"/>
      <c r="J615" s="107"/>
      <c r="K615" s="128"/>
      <c r="L615" s="107"/>
      <c r="M615" s="107"/>
      <c r="N615" s="101">
        <f t="shared" si="21"/>
        <v>0</v>
      </c>
      <c r="O615" s="501"/>
    </row>
    <row r="616" spans="1:15" x14ac:dyDescent="0.25">
      <c r="A616" s="426">
        <f t="shared" si="22"/>
        <v>606</v>
      </c>
      <c r="B616" s="434" t="s">
        <v>434</v>
      </c>
      <c r="C616" s="662" t="s">
        <v>4901</v>
      </c>
      <c r="D616" s="441">
        <v>44821</v>
      </c>
      <c r="E616" s="615" t="s">
        <v>379</v>
      </c>
      <c r="F616" s="743">
        <f>15250000-8000000</f>
        <v>7250000</v>
      </c>
      <c r="G616" s="743">
        <f>15250000-8000000</f>
        <v>7250000</v>
      </c>
      <c r="H616" s="693" t="s">
        <v>4274</v>
      </c>
      <c r="I616" s="137"/>
      <c r="J616" s="137"/>
      <c r="K616" s="257"/>
      <c r="L616" s="137"/>
      <c r="M616" s="137"/>
      <c r="N616" s="101">
        <f t="shared" si="21"/>
        <v>0</v>
      </c>
      <c r="O616" s="501"/>
    </row>
    <row r="617" spans="1:15" hidden="1" x14ac:dyDescent="0.25">
      <c r="A617" s="426">
        <f t="shared" si="22"/>
        <v>607</v>
      </c>
      <c r="B617" s="434" t="s">
        <v>434</v>
      </c>
      <c r="C617" s="720" t="s">
        <v>2636</v>
      </c>
      <c r="D617" s="441">
        <v>44828</v>
      </c>
      <c r="E617" s="441">
        <v>44833</v>
      </c>
      <c r="F617" s="454">
        <v>16000000</v>
      </c>
      <c r="G617" s="454">
        <v>17250000</v>
      </c>
      <c r="H617" s="573" t="s">
        <v>17</v>
      </c>
      <c r="I617" s="137"/>
      <c r="J617" s="137"/>
      <c r="K617" s="257"/>
      <c r="L617" s="137"/>
      <c r="M617" s="137"/>
      <c r="N617" s="101">
        <f t="shared" si="21"/>
        <v>1250000</v>
      </c>
      <c r="O617" s="719" t="s">
        <v>4669</v>
      </c>
    </row>
    <row r="618" spans="1:15" hidden="1" x14ac:dyDescent="0.25">
      <c r="A618" s="426">
        <f t="shared" si="22"/>
        <v>608</v>
      </c>
      <c r="B618" s="434" t="s">
        <v>434</v>
      </c>
      <c r="C618" s="662" t="s">
        <v>4670</v>
      </c>
      <c r="D618" s="439">
        <v>44832</v>
      </c>
      <c r="E618" s="441">
        <v>44833</v>
      </c>
      <c r="F618" s="454">
        <v>16100000</v>
      </c>
      <c r="G618" s="454">
        <v>16500000</v>
      </c>
      <c r="H618" s="573" t="s">
        <v>17</v>
      </c>
      <c r="I618" s="107"/>
      <c r="J618" s="107"/>
      <c r="K618" s="128"/>
      <c r="L618" s="107"/>
      <c r="M618" s="107"/>
      <c r="N618" s="101">
        <f t="shared" si="21"/>
        <v>400000</v>
      </c>
      <c r="O618" s="719" t="s">
        <v>4669</v>
      </c>
    </row>
    <row r="619" spans="1:15" hidden="1" x14ac:dyDescent="0.25">
      <c r="A619" s="426">
        <f t="shared" si="22"/>
        <v>609</v>
      </c>
      <c r="B619" s="434" t="s">
        <v>434</v>
      </c>
      <c r="C619" s="662" t="s">
        <v>4671</v>
      </c>
      <c r="D619" s="439">
        <v>44832</v>
      </c>
      <c r="E619" s="441">
        <v>44852</v>
      </c>
      <c r="F619" s="452">
        <v>17000000</v>
      </c>
      <c r="G619" s="452">
        <v>17500000</v>
      </c>
      <c r="H619" s="573" t="s">
        <v>17</v>
      </c>
      <c r="I619" s="107"/>
      <c r="J619" s="107"/>
      <c r="K619" s="128"/>
      <c r="L619" s="107"/>
      <c r="M619" s="107"/>
      <c r="N619" s="101">
        <f t="shared" si="21"/>
        <v>500000</v>
      </c>
      <c r="O619" s="727" t="s">
        <v>4835</v>
      </c>
    </row>
    <row r="620" spans="1:15" hidden="1" x14ac:dyDescent="0.25">
      <c r="A620" s="426">
        <f t="shared" si="22"/>
        <v>610</v>
      </c>
      <c r="B620" s="434" t="s">
        <v>434</v>
      </c>
      <c r="C620" s="662" t="s">
        <v>4672</v>
      </c>
      <c r="D620" s="439">
        <v>44832</v>
      </c>
      <c r="E620" s="441">
        <v>44854</v>
      </c>
      <c r="F620" s="452">
        <v>17000000</v>
      </c>
      <c r="G620" s="452">
        <v>17250000</v>
      </c>
      <c r="H620" s="573" t="s">
        <v>17</v>
      </c>
      <c r="I620" s="107"/>
      <c r="J620" s="107"/>
      <c r="K620" s="128"/>
      <c r="L620" s="107"/>
      <c r="M620" s="107"/>
      <c r="N620" s="101">
        <f t="shared" si="21"/>
        <v>250000</v>
      </c>
      <c r="O620" s="727" t="s">
        <v>4835</v>
      </c>
    </row>
    <row r="621" spans="1:15" hidden="1" x14ac:dyDescent="0.25">
      <c r="A621" s="426">
        <f t="shared" si="22"/>
        <v>611</v>
      </c>
      <c r="B621" s="434" t="s">
        <v>434</v>
      </c>
      <c r="C621" s="662" t="s">
        <v>4673</v>
      </c>
      <c r="D621" s="439">
        <v>44832</v>
      </c>
      <c r="E621" s="441">
        <v>44837</v>
      </c>
      <c r="F621" s="452">
        <v>17000000</v>
      </c>
      <c r="G621" s="452">
        <v>17500000</v>
      </c>
      <c r="H621" s="573" t="s">
        <v>17</v>
      </c>
      <c r="I621" s="107"/>
      <c r="J621" s="107"/>
      <c r="K621" s="128"/>
      <c r="L621" s="107"/>
      <c r="M621" s="107"/>
      <c r="N621" s="101">
        <f t="shared" si="21"/>
        <v>500000</v>
      </c>
      <c r="O621" s="722" t="s">
        <v>4686</v>
      </c>
    </row>
    <row r="622" spans="1:15" hidden="1" x14ac:dyDescent="0.25">
      <c r="A622" s="426">
        <f t="shared" si="22"/>
        <v>612</v>
      </c>
      <c r="B622" s="434" t="s">
        <v>434</v>
      </c>
      <c r="C622" s="662" t="s">
        <v>4674</v>
      </c>
      <c r="D622" s="439">
        <v>44832</v>
      </c>
      <c r="E622" s="441">
        <v>44849</v>
      </c>
      <c r="F622" s="452">
        <v>17000000</v>
      </c>
      <c r="G622" s="452">
        <v>17750000</v>
      </c>
      <c r="H622" s="573" t="s">
        <v>17</v>
      </c>
      <c r="I622" s="107"/>
      <c r="J622" s="107"/>
      <c r="K622" s="128"/>
      <c r="L622" s="107"/>
      <c r="M622" s="107"/>
      <c r="N622" s="101">
        <f t="shared" si="21"/>
        <v>750000</v>
      </c>
      <c r="O622" s="725" t="s">
        <v>4688</v>
      </c>
    </row>
    <row r="623" spans="1:15" hidden="1" x14ac:dyDescent="0.25">
      <c r="A623" s="426">
        <f t="shared" si="22"/>
        <v>613</v>
      </c>
      <c r="B623" s="434" t="s">
        <v>434</v>
      </c>
      <c r="C623" s="662" t="s">
        <v>4675</v>
      </c>
      <c r="D623" s="439">
        <v>44832</v>
      </c>
      <c r="E623" s="441">
        <v>44840</v>
      </c>
      <c r="F623" s="452">
        <v>17000000</v>
      </c>
      <c r="G623" s="452">
        <v>17900000</v>
      </c>
      <c r="H623" s="573" t="s">
        <v>17</v>
      </c>
      <c r="I623" s="107"/>
      <c r="J623" s="107"/>
      <c r="K623" s="128"/>
      <c r="L623" s="107"/>
      <c r="M623" s="107"/>
      <c r="N623" s="101">
        <f t="shared" si="21"/>
        <v>900000</v>
      </c>
      <c r="O623" s="722" t="s">
        <v>4686</v>
      </c>
    </row>
    <row r="624" spans="1:15" hidden="1" x14ac:dyDescent="0.25">
      <c r="A624" s="426">
        <f t="shared" si="22"/>
        <v>614</v>
      </c>
      <c r="B624" s="434" t="s">
        <v>434</v>
      </c>
      <c r="C624" s="662" t="s">
        <v>4676</v>
      </c>
      <c r="D624" s="439">
        <v>44832</v>
      </c>
      <c r="E624" s="441">
        <v>44854</v>
      </c>
      <c r="F624" s="452">
        <v>17000000</v>
      </c>
      <c r="G624" s="452">
        <v>17000000</v>
      </c>
      <c r="H624" s="573" t="s">
        <v>17</v>
      </c>
      <c r="I624" s="107"/>
      <c r="J624" s="107"/>
      <c r="K624" s="128"/>
      <c r="L624" s="107"/>
      <c r="M624" s="107"/>
      <c r="N624" s="101">
        <f t="shared" si="21"/>
        <v>0</v>
      </c>
      <c r="O624" s="727" t="s">
        <v>4835</v>
      </c>
    </row>
    <row r="625" spans="1:15" hidden="1" x14ac:dyDescent="0.25">
      <c r="A625" s="426">
        <f t="shared" si="22"/>
        <v>615</v>
      </c>
      <c r="B625" s="434" t="s">
        <v>434</v>
      </c>
      <c r="C625" s="662" t="s">
        <v>4677</v>
      </c>
      <c r="D625" s="439">
        <v>44832</v>
      </c>
      <c r="E625" s="441">
        <v>44867</v>
      </c>
      <c r="F625" s="452">
        <v>17000000</v>
      </c>
      <c r="G625" s="452">
        <v>18250000</v>
      </c>
      <c r="H625" s="573" t="s">
        <v>17</v>
      </c>
      <c r="I625" s="107"/>
      <c r="J625" s="107"/>
      <c r="K625" s="128"/>
      <c r="L625" s="107"/>
      <c r="M625" s="107"/>
      <c r="N625" s="101">
        <f t="shared" si="21"/>
        <v>1250000</v>
      </c>
      <c r="O625" s="731" t="s">
        <v>4898</v>
      </c>
    </row>
    <row r="626" spans="1:15" x14ac:dyDescent="0.25">
      <c r="A626" s="426">
        <f t="shared" si="22"/>
        <v>616</v>
      </c>
      <c r="B626" s="434" t="s">
        <v>434</v>
      </c>
      <c r="C626" s="662" t="s">
        <v>4678</v>
      </c>
      <c r="D626" s="439">
        <v>44832</v>
      </c>
      <c r="E626" s="615" t="s">
        <v>379</v>
      </c>
      <c r="F626" s="452">
        <v>17000000</v>
      </c>
      <c r="G626" s="476">
        <v>17000000</v>
      </c>
      <c r="H626" s="500" t="s">
        <v>380</v>
      </c>
      <c r="I626" s="107"/>
      <c r="J626" s="107"/>
      <c r="K626" s="128"/>
      <c r="L626" s="107"/>
      <c r="M626" s="107"/>
      <c r="N626" s="101">
        <f t="shared" ref="N626:N668" si="23">G626-F626</f>
        <v>0</v>
      </c>
      <c r="O626" s="501"/>
    </row>
    <row r="627" spans="1:15" hidden="1" x14ac:dyDescent="0.25">
      <c r="A627" s="426">
        <f t="shared" si="22"/>
        <v>617</v>
      </c>
      <c r="B627" s="434" t="s">
        <v>434</v>
      </c>
      <c r="C627" s="662" t="s">
        <v>4679</v>
      </c>
      <c r="D627" s="439">
        <v>44832</v>
      </c>
      <c r="E627" s="441">
        <v>44834</v>
      </c>
      <c r="F627" s="452">
        <v>16100000</v>
      </c>
      <c r="G627" s="452">
        <v>16750000</v>
      </c>
      <c r="H627" s="573" t="s">
        <v>17</v>
      </c>
      <c r="I627" s="107"/>
      <c r="J627" s="107"/>
      <c r="K627" s="128"/>
      <c r="L627" s="107"/>
      <c r="M627" s="107"/>
      <c r="N627" s="101">
        <f t="shared" si="23"/>
        <v>650000</v>
      </c>
      <c r="O627" s="719" t="s">
        <v>4669</v>
      </c>
    </row>
    <row r="628" spans="1:15" hidden="1" x14ac:dyDescent="0.25">
      <c r="A628" s="426">
        <f t="shared" si="22"/>
        <v>618</v>
      </c>
      <c r="B628" s="434" t="s">
        <v>434</v>
      </c>
      <c r="C628" s="662" t="s">
        <v>4680</v>
      </c>
      <c r="D628" s="439">
        <v>44832</v>
      </c>
      <c r="E628" s="441">
        <v>44834</v>
      </c>
      <c r="F628" s="452">
        <v>16100000</v>
      </c>
      <c r="G628" s="452">
        <v>17450000</v>
      </c>
      <c r="H628" s="573" t="s">
        <v>17</v>
      </c>
      <c r="I628" s="107"/>
      <c r="J628" s="107"/>
      <c r="K628" s="128"/>
      <c r="L628" s="107"/>
      <c r="M628" s="107"/>
      <c r="N628" s="101">
        <f t="shared" si="23"/>
        <v>1350000</v>
      </c>
      <c r="O628" s="719" t="s">
        <v>4669</v>
      </c>
    </row>
    <row r="629" spans="1:15" hidden="1" x14ac:dyDescent="0.25">
      <c r="A629" s="426">
        <f t="shared" si="22"/>
        <v>619</v>
      </c>
      <c r="B629" s="434" t="s">
        <v>434</v>
      </c>
      <c r="C629" s="662" t="s">
        <v>4681</v>
      </c>
      <c r="D629" s="439">
        <v>44832</v>
      </c>
      <c r="E629" s="441">
        <v>44888</v>
      </c>
      <c r="F629" s="452">
        <v>17000000</v>
      </c>
      <c r="G629" s="454">
        <v>17500000</v>
      </c>
      <c r="H629" s="573" t="s">
        <v>17</v>
      </c>
      <c r="I629" s="107"/>
      <c r="J629" s="107"/>
      <c r="K629" s="128"/>
      <c r="L629" s="107"/>
      <c r="M629" s="107"/>
      <c r="N629" s="101">
        <f t="shared" si="23"/>
        <v>500000</v>
      </c>
      <c r="O629" s="737" t="s">
        <v>4962</v>
      </c>
    </row>
    <row r="630" spans="1:15" hidden="1" x14ac:dyDescent="0.25">
      <c r="A630" s="426">
        <f t="shared" si="22"/>
        <v>620</v>
      </c>
      <c r="B630" s="434" t="s">
        <v>434</v>
      </c>
      <c r="C630" s="662" t="s">
        <v>4682</v>
      </c>
      <c r="D630" s="439">
        <v>44832</v>
      </c>
      <c r="E630" s="441">
        <v>44840</v>
      </c>
      <c r="F630" s="452">
        <v>17000000</v>
      </c>
      <c r="G630" s="452">
        <v>18850000</v>
      </c>
      <c r="H630" s="573" t="s">
        <v>17</v>
      </c>
      <c r="I630" s="107"/>
      <c r="J630" s="107"/>
      <c r="K630" s="128"/>
      <c r="L630" s="107"/>
      <c r="M630" s="107"/>
      <c r="N630" s="101">
        <f t="shared" si="23"/>
        <v>1850000</v>
      </c>
      <c r="O630" s="722" t="s">
        <v>4686</v>
      </c>
    </row>
    <row r="631" spans="1:15" hidden="1" x14ac:dyDescent="0.25">
      <c r="A631" s="426">
        <f t="shared" ref="A631:A668" si="24">A630+1</f>
        <v>621</v>
      </c>
      <c r="B631" s="434" t="s">
        <v>434</v>
      </c>
      <c r="C631" s="662" t="s">
        <v>4683</v>
      </c>
      <c r="D631" s="439">
        <v>44832</v>
      </c>
      <c r="E631" s="441">
        <v>44864</v>
      </c>
      <c r="F631" s="452">
        <v>17000000</v>
      </c>
      <c r="G631" s="452">
        <v>17500000</v>
      </c>
      <c r="H631" s="573" t="s">
        <v>17</v>
      </c>
      <c r="I631" s="107"/>
      <c r="J631" s="107"/>
      <c r="K631" s="128"/>
      <c r="L631" s="107"/>
      <c r="M631" s="107"/>
      <c r="N631" s="101">
        <f>G631-F631</f>
        <v>500000</v>
      </c>
      <c r="O631" s="719" t="s">
        <v>4669</v>
      </c>
    </row>
    <row r="632" spans="1:15" hidden="1" x14ac:dyDescent="0.25">
      <c r="A632" s="426">
        <f t="shared" si="24"/>
        <v>622</v>
      </c>
      <c r="B632" s="434" t="s">
        <v>434</v>
      </c>
      <c r="C632" s="667" t="s">
        <v>4684</v>
      </c>
      <c r="D632" s="441">
        <v>44832</v>
      </c>
      <c r="E632" s="441">
        <v>44890</v>
      </c>
      <c r="F632" s="454">
        <v>17000000</v>
      </c>
      <c r="G632" s="454">
        <v>17500000</v>
      </c>
      <c r="H632" s="573" t="s">
        <v>17</v>
      </c>
      <c r="I632" s="137"/>
      <c r="J632" s="137"/>
      <c r="K632" s="257"/>
      <c r="L632" s="137"/>
      <c r="M632" s="137"/>
      <c r="N632" s="101">
        <f t="shared" si="23"/>
        <v>500000</v>
      </c>
      <c r="O632" s="737" t="s">
        <v>4962</v>
      </c>
    </row>
    <row r="633" spans="1:15" hidden="1" x14ac:dyDescent="0.25">
      <c r="A633" s="426">
        <f t="shared" si="24"/>
        <v>623</v>
      </c>
      <c r="B633" s="76" t="s">
        <v>1433</v>
      </c>
      <c r="C633" s="662" t="s">
        <v>4836</v>
      </c>
      <c r="D633" s="439">
        <v>44854</v>
      </c>
      <c r="E633" s="441">
        <v>44863</v>
      </c>
      <c r="F633" s="450">
        <v>8000000</v>
      </c>
      <c r="G633" s="452">
        <v>9000000</v>
      </c>
      <c r="H633" s="573" t="s">
        <v>17</v>
      </c>
      <c r="I633" s="107"/>
      <c r="J633" s="107"/>
      <c r="K633" s="128"/>
      <c r="L633" s="107"/>
      <c r="M633" s="107"/>
      <c r="N633" s="101">
        <f t="shared" si="23"/>
        <v>1000000</v>
      </c>
      <c r="O633" s="729" t="s">
        <v>4851</v>
      </c>
    </row>
    <row r="634" spans="1:15" hidden="1" x14ac:dyDescent="0.25">
      <c r="A634" s="426">
        <f t="shared" si="24"/>
        <v>624</v>
      </c>
      <c r="B634" s="76" t="s">
        <v>1433</v>
      </c>
      <c r="C634" s="662" t="s">
        <v>4837</v>
      </c>
      <c r="D634" s="439">
        <v>44854</v>
      </c>
      <c r="E634" s="441">
        <v>44883</v>
      </c>
      <c r="F634" s="450">
        <v>8000000</v>
      </c>
      <c r="G634" s="452">
        <v>8750000</v>
      </c>
      <c r="H634" s="573" t="s">
        <v>17</v>
      </c>
      <c r="I634" s="107"/>
      <c r="J634" s="107"/>
      <c r="K634" s="128"/>
      <c r="L634" s="107"/>
      <c r="M634" s="107"/>
      <c r="N634" s="101">
        <f t="shared" si="23"/>
        <v>750000</v>
      </c>
      <c r="O634" s="735" t="s">
        <v>4902</v>
      </c>
    </row>
    <row r="635" spans="1:15" hidden="1" x14ac:dyDescent="0.25">
      <c r="A635" s="426">
        <f t="shared" si="24"/>
        <v>625</v>
      </c>
      <c r="B635" s="76" t="s">
        <v>1433</v>
      </c>
      <c r="C635" s="662" t="s">
        <v>4838</v>
      </c>
      <c r="D635" s="439">
        <v>44854</v>
      </c>
      <c r="E635" s="441">
        <v>44865</v>
      </c>
      <c r="F635" s="450">
        <v>8000000</v>
      </c>
      <c r="G635" s="452">
        <v>9000000</v>
      </c>
      <c r="H635" s="573" t="s">
        <v>17</v>
      </c>
      <c r="I635" s="107"/>
      <c r="J635" s="107"/>
      <c r="K635" s="128"/>
      <c r="L635" s="107"/>
      <c r="M635" s="107"/>
      <c r="N635" s="101">
        <f t="shared" si="23"/>
        <v>1000000</v>
      </c>
      <c r="O635" s="731" t="s">
        <v>4898</v>
      </c>
    </row>
    <row r="636" spans="1:15" x14ac:dyDescent="0.25">
      <c r="A636" s="426">
        <f t="shared" si="24"/>
        <v>626</v>
      </c>
      <c r="B636" s="76" t="s">
        <v>1433</v>
      </c>
      <c r="C636" s="662" t="s">
        <v>4839</v>
      </c>
      <c r="D636" s="439">
        <v>44854</v>
      </c>
      <c r="E636" s="615" t="s">
        <v>379</v>
      </c>
      <c r="F636" s="450">
        <v>8000000</v>
      </c>
      <c r="G636" s="476">
        <v>8000000</v>
      </c>
      <c r="H636" s="500" t="s">
        <v>380</v>
      </c>
      <c r="I636" s="107"/>
      <c r="J636" s="107"/>
      <c r="K636" s="128"/>
      <c r="L636" s="107"/>
      <c r="M636" s="107"/>
      <c r="N636" s="101">
        <f t="shared" si="23"/>
        <v>0</v>
      </c>
      <c r="O636" s="501"/>
    </row>
    <row r="637" spans="1:15" hidden="1" x14ac:dyDescent="0.25">
      <c r="A637" s="426">
        <f t="shared" si="24"/>
        <v>627</v>
      </c>
      <c r="B637" s="76" t="s">
        <v>1433</v>
      </c>
      <c r="C637" s="662" t="s">
        <v>4840</v>
      </c>
      <c r="D637" s="439">
        <v>44854</v>
      </c>
      <c r="E637" s="441">
        <v>44903</v>
      </c>
      <c r="F637" s="450">
        <v>8000000</v>
      </c>
      <c r="G637" s="452">
        <v>7750000</v>
      </c>
      <c r="H637" s="739" t="s">
        <v>17</v>
      </c>
      <c r="I637" s="107"/>
      <c r="J637" s="107"/>
      <c r="K637" s="128"/>
      <c r="L637" s="107"/>
      <c r="M637" s="107"/>
      <c r="N637" s="101">
        <f t="shared" si="23"/>
        <v>-250000</v>
      </c>
      <c r="O637" s="742" t="s">
        <v>4971</v>
      </c>
    </row>
    <row r="638" spans="1:15" hidden="1" x14ac:dyDescent="0.25">
      <c r="A638" s="426">
        <f t="shared" si="24"/>
        <v>628</v>
      </c>
      <c r="B638" s="76" t="s">
        <v>1433</v>
      </c>
      <c r="C638" s="662" t="s">
        <v>4841</v>
      </c>
      <c r="D638" s="439">
        <v>44854</v>
      </c>
      <c r="E638" s="441">
        <v>44877</v>
      </c>
      <c r="F638" s="450">
        <v>8000000</v>
      </c>
      <c r="G638" s="452">
        <v>8550000</v>
      </c>
      <c r="H638" s="573" t="s">
        <v>17</v>
      </c>
      <c r="I638" s="107"/>
      <c r="J638" s="107"/>
      <c r="K638" s="128"/>
      <c r="L638" s="107"/>
      <c r="M638" s="107"/>
      <c r="N638" s="101">
        <f t="shared" si="23"/>
        <v>550000</v>
      </c>
      <c r="O638" s="733" t="s">
        <v>4900</v>
      </c>
    </row>
    <row r="639" spans="1:15" hidden="1" x14ac:dyDescent="0.25">
      <c r="A639" s="426">
        <f t="shared" si="24"/>
        <v>629</v>
      </c>
      <c r="B639" s="76" t="s">
        <v>1433</v>
      </c>
      <c r="C639" s="662" t="s">
        <v>4842</v>
      </c>
      <c r="D639" s="439">
        <v>44854</v>
      </c>
      <c r="E639" s="441">
        <v>44867</v>
      </c>
      <c r="F639" s="450">
        <v>8000000</v>
      </c>
      <c r="G639" s="452">
        <v>8750000</v>
      </c>
      <c r="H639" s="573" t="s">
        <v>17</v>
      </c>
      <c r="I639" s="107"/>
      <c r="J639" s="107"/>
      <c r="K639" s="128"/>
      <c r="L639" s="107"/>
      <c r="M639" s="107"/>
      <c r="N639" s="101">
        <f t="shared" si="23"/>
        <v>750000</v>
      </c>
      <c r="O639" s="731" t="s">
        <v>4898</v>
      </c>
    </row>
    <row r="640" spans="1:15" hidden="1" x14ac:dyDescent="0.25">
      <c r="A640" s="426">
        <f t="shared" si="24"/>
        <v>630</v>
      </c>
      <c r="B640" s="76" t="s">
        <v>1433</v>
      </c>
      <c r="C640" s="662" t="s">
        <v>4843</v>
      </c>
      <c r="D640" s="439">
        <v>44854</v>
      </c>
      <c r="E640" s="441">
        <v>44954</v>
      </c>
      <c r="F640" s="450">
        <v>8000000</v>
      </c>
      <c r="G640" s="452">
        <v>8150000</v>
      </c>
      <c r="H640" s="573" t="s">
        <v>17</v>
      </c>
      <c r="I640" s="107"/>
      <c r="J640" s="107"/>
      <c r="K640" s="128"/>
      <c r="L640" s="107"/>
      <c r="M640" s="107"/>
      <c r="N640" s="101">
        <f t="shared" si="23"/>
        <v>150000</v>
      </c>
      <c r="O640" s="755" t="s">
        <v>5100</v>
      </c>
    </row>
    <row r="641" spans="1:15" hidden="1" x14ac:dyDescent="0.25">
      <c r="A641" s="426">
        <f t="shared" si="24"/>
        <v>631</v>
      </c>
      <c r="B641" s="76" t="s">
        <v>1433</v>
      </c>
      <c r="C641" s="662" t="s">
        <v>4844</v>
      </c>
      <c r="D641" s="439">
        <v>44854</v>
      </c>
      <c r="E641" s="441">
        <v>44869</v>
      </c>
      <c r="F641" s="450">
        <v>8000000</v>
      </c>
      <c r="G641" s="452">
        <v>8500000</v>
      </c>
      <c r="H641" s="573" t="s">
        <v>17</v>
      </c>
      <c r="I641" s="107"/>
      <c r="J641" s="107"/>
      <c r="K641" s="128"/>
      <c r="L641" s="107"/>
      <c r="M641" s="107"/>
      <c r="N641" s="101">
        <f t="shared" si="23"/>
        <v>500000</v>
      </c>
      <c r="O641" s="731" t="s">
        <v>4898</v>
      </c>
    </row>
    <row r="642" spans="1:15" hidden="1" x14ac:dyDescent="0.25">
      <c r="A642" s="426">
        <f t="shared" si="24"/>
        <v>632</v>
      </c>
      <c r="B642" s="76" t="s">
        <v>1433</v>
      </c>
      <c r="C642" s="662" t="s">
        <v>4845</v>
      </c>
      <c r="D642" s="439">
        <v>44854</v>
      </c>
      <c r="E642" s="441">
        <v>44884</v>
      </c>
      <c r="F642" s="450">
        <v>8000000</v>
      </c>
      <c r="G642" s="452">
        <v>8550000</v>
      </c>
      <c r="H642" s="573" t="s">
        <v>17</v>
      </c>
      <c r="I642" s="107"/>
      <c r="J642" s="107"/>
      <c r="K642" s="128"/>
      <c r="L642" s="107"/>
      <c r="M642" s="107"/>
      <c r="N642" s="101">
        <f t="shared" si="23"/>
        <v>550000</v>
      </c>
      <c r="O642" s="735" t="s">
        <v>4902</v>
      </c>
    </row>
    <row r="643" spans="1:15" hidden="1" x14ac:dyDescent="0.25">
      <c r="A643" s="426">
        <f t="shared" si="24"/>
        <v>633</v>
      </c>
      <c r="B643" s="76" t="s">
        <v>1433</v>
      </c>
      <c r="C643" s="662" t="s">
        <v>4846</v>
      </c>
      <c r="D643" s="439">
        <v>44854</v>
      </c>
      <c r="E643" s="441">
        <v>44915</v>
      </c>
      <c r="F643" s="450">
        <v>8000000</v>
      </c>
      <c r="G643" s="452">
        <v>8000000</v>
      </c>
      <c r="H643" s="573" t="s">
        <v>17</v>
      </c>
      <c r="I643" s="107"/>
      <c r="J643" s="107"/>
      <c r="K643" s="128"/>
      <c r="L643" s="107"/>
      <c r="M643" s="107"/>
      <c r="N643" s="101">
        <f t="shared" si="23"/>
        <v>0</v>
      </c>
      <c r="O643" s="747" t="s">
        <v>4973</v>
      </c>
    </row>
    <row r="644" spans="1:15" hidden="1" x14ac:dyDescent="0.25">
      <c r="A644" s="426">
        <f t="shared" si="24"/>
        <v>634</v>
      </c>
      <c r="B644" s="76" t="s">
        <v>1433</v>
      </c>
      <c r="C644" s="662" t="s">
        <v>4847</v>
      </c>
      <c r="D644" s="439">
        <v>44854</v>
      </c>
      <c r="E644" s="441">
        <v>44862</v>
      </c>
      <c r="F644" s="450">
        <v>8000000</v>
      </c>
      <c r="G644" s="452">
        <v>9000000</v>
      </c>
      <c r="H644" s="573" t="s">
        <v>17</v>
      </c>
      <c r="I644" s="107"/>
      <c r="J644" s="107"/>
      <c r="K644" s="128"/>
      <c r="L644" s="107"/>
      <c r="M644" s="107"/>
      <c r="N644" s="101">
        <f t="shared" si="23"/>
        <v>1000000</v>
      </c>
      <c r="O644" s="729" t="s">
        <v>4851</v>
      </c>
    </row>
    <row r="645" spans="1:15" hidden="1" x14ac:dyDescent="0.25">
      <c r="A645" s="426">
        <f t="shared" si="24"/>
        <v>635</v>
      </c>
      <c r="B645" s="76" t="s">
        <v>1433</v>
      </c>
      <c r="C645" s="662" t="s">
        <v>4848</v>
      </c>
      <c r="D645" s="439">
        <v>44854</v>
      </c>
      <c r="E645" s="441">
        <v>44855</v>
      </c>
      <c r="F645" s="450">
        <v>8000000</v>
      </c>
      <c r="G645" s="452">
        <v>9000000</v>
      </c>
      <c r="H645" s="573" t="s">
        <v>17</v>
      </c>
      <c r="I645" s="107"/>
      <c r="J645" s="107"/>
      <c r="K645" s="128"/>
      <c r="L645" s="107"/>
      <c r="M645" s="107"/>
      <c r="N645" s="101">
        <f t="shared" si="23"/>
        <v>1000000</v>
      </c>
      <c r="O645" s="727" t="s">
        <v>4835</v>
      </c>
    </row>
    <row r="646" spans="1:15" hidden="1" x14ac:dyDescent="0.25">
      <c r="A646" s="426">
        <f t="shared" si="24"/>
        <v>636</v>
      </c>
      <c r="B646" s="76" t="s">
        <v>1433</v>
      </c>
      <c r="C646" s="662" t="s">
        <v>4849</v>
      </c>
      <c r="D646" s="439">
        <v>44854</v>
      </c>
      <c r="E646" s="441">
        <v>44870</v>
      </c>
      <c r="F646" s="450">
        <v>8000000</v>
      </c>
      <c r="G646" s="452">
        <v>9250000</v>
      </c>
      <c r="H646" s="573" t="s">
        <v>17</v>
      </c>
      <c r="I646" s="107"/>
      <c r="J646" s="107"/>
      <c r="K646" s="128"/>
      <c r="L646" s="107"/>
      <c r="M646" s="107"/>
      <c r="N646" s="101">
        <f t="shared" si="23"/>
        <v>1250000</v>
      </c>
      <c r="O646" s="731" t="s">
        <v>4898</v>
      </c>
    </row>
    <row r="647" spans="1:15" hidden="1" x14ac:dyDescent="0.25">
      <c r="A647" s="428">
        <f t="shared" si="24"/>
        <v>637</v>
      </c>
      <c r="B647" s="434" t="s">
        <v>1433</v>
      </c>
      <c r="C647" s="667" t="s">
        <v>4850</v>
      </c>
      <c r="D647" s="441">
        <v>44854</v>
      </c>
      <c r="E647" s="441">
        <v>44880</v>
      </c>
      <c r="F647" s="455">
        <v>8000000</v>
      </c>
      <c r="G647" s="454">
        <v>8650000</v>
      </c>
      <c r="H647" s="573" t="s">
        <v>17</v>
      </c>
      <c r="I647" s="137"/>
      <c r="J647" s="137"/>
      <c r="K647" s="257"/>
      <c r="L647" s="137"/>
      <c r="M647" s="137"/>
      <c r="N647" s="101">
        <f t="shared" si="23"/>
        <v>650000</v>
      </c>
      <c r="O647" s="735" t="s">
        <v>4902</v>
      </c>
    </row>
    <row r="648" spans="1:15" hidden="1" x14ac:dyDescent="0.25">
      <c r="A648" s="428">
        <f t="shared" si="24"/>
        <v>638</v>
      </c>
      <c r="B648" s="76" t="s">
        <v>87</v>
      </c>
      <c r="C648" s="662" t="s">
        <v>4964</v>
      </c>
      <c r="D648" s="439">
        <v>44893</v>
      </c>
      <c r="E648" s="441">
        <v>44903</v>
      </c>
      <c r="F648" s="450">
        <v>10500000</v>
      </c>
      <c r="G648" s="452">
        <v>12000000</v>
      </c>
      <c r="H648" s="573" t="s">
        <v>17</v>
      </c>
      <c r="I648" s="107"/>
      <c r="J648" s="107"/>
      <c r="K648" s="128"/>
      <c r="L648" s="107"/>
      <c r="M648" s="107"/>
      <c r="N648" s="101">
        <f t="shared" si="23"/>
        <v>1500000</v>
      </c>
      <c r="O648" s="742" t="s">
        <v>4971</v>
      </c>
    </row>
    <row r="649" spans="1:15" hidden="1" x14ac:dyDescent="0.25">
      <c r="A649" s="428">
        <f t="shared" si="24"/>
        <v>639</v>
      </c>
      <c r="B649" s="76" t="s">
        <v>87</v>
      </c>
      <c r="C649" s="662" t="s">
        <v>4965</v>
      </c>
      <c r="D649" s="439">
        <v>44893</v>
      </c>
      <c r="E649" s="441">
        <v>44917</v>
      </c>
      <c r="F649" s="450">
        <v>10750000</v>
      </c>
      <c r="G649" s="452">
        <v>12500000</v>
      </c>
      <c r="H649" s="573" t="s">
        <v>17</v>
      </c>
      <c r="I649" s="107"/>
      <c r="J649" s="107"/>
      <c r="K649" s="128"/>
      <c r="L649" s="107"/>
      <c r="M649" s="107"/>
      <c r="N649" s="101">
        <f t="shared" si="23"/>
        <v>1750000</v>
      </c>
      <c r="O649" s="747" t="s">
        <v>4973</v>
      </c>
    </row>
    <row r="650" spans="1:15" x14ac:dyDescent="0.25">
      <c r="A650" s="428">
        <f t="shared" si="24"/>
        <v>640</v>
      </c>
      <c r="B650" s="76" t="s">
        <v>87</v>
      </c>
      <c r="C650" s="662" t="s">
        <v>4968</v>
      </c>
      <c r="D650" s="439">
        <v>44893</v>
      </c>
      <c r="E650" s="615" t="s">
        <v>379</v>
      </c>
      <c r="F650" s="450">
        <v>10750000</v>
      </c>
      <c r="G650" s="476">
        <v>10750000</v>
      </c>
      <c r="H650" s="500" t="s">
        <v>380</v>
      </c>
      <c r="I650" s="107"/>
      <c r="J650" s="107"/>
      <c r="K650" s="128"/>
      <c r="L650" s="107"/>
      <c r="M650" s="107"/>
      <c r="N650" s="101">
        <f t="shared" si="23"/>
        <v>0</v>
      </c>
      <c r="O650" s="501"/>
    </row>
    <row r="651" spans="1:15" hidden="1" x14ac:dyDescent="0.25">
      <c r="A651" s="428">
        <f t="shared" si="24"/>
        <v>641</v>
      </c>
      <c r="B651" s="76" t="s">
        <v>87</v>
      </c>
      <c r="C651" s="662" t="s">
        <v>4967</v>
      </c>
      <c r="D651" s="439">
        <v>44893</v>
      </c>
      <c r="E651" s="441">
        <v>44903</v>
      </c>
      <c r="F651" s="450">
        <v>10500000</v>
      </c>
      <c r="G651" s="452">
        <v>13300000</v>
      </c>
      <c r="H651" s="573" t="s">
        <v>17</v>
      </c>
      <c r="I651" s="107"/>
      <c r="J651" s="107"/>
      <c r="K651" s="128"/>
      <c r="L651" s="107"/>
      <c r="M651" s="107"/>
      <c r="N651" s="101">
        <f t="shared" si="23"/>
        <v>2800000</v>
      </c>
      <c r="O651" s="742" t="s">
        <v>4971</v>
      </c>
    </row>
    <row r="652" spans="1:15" hidden="1" x14ac:dyDescent="0.25">
      <c r="A652" s="428">
        <f t="shared" si="24"/>
        <v>642</v>
      </c>
      <c r="B652" s="76" t="s">
        <v>87</v>
      </c>
      <c r="C652" s="662" t="s">
        <v>4966</v>
      </c>
      <c r="D652" s="439">
        <v>44893</v>
      </c>
      <c r="E652" s="441">
        <v>44915</v>
      </c>
      <c r="F652" s="450">
        <v>10500000</v>
      </c>
      <c r="G652" s="452">
        <v>13000000</v>
      </c>
      <c r="H652" s="573" t="s">
        <v>17</v>
      </c>
      <c r="I652" s="107"/>
      <c r="J652" s="107"/>
      <c r="K652" s="128"/>
      <c r="L652" s="107"/>
      <c r="M652" s="107"/>
      <c r="N652" s="101">
        <f t="shared" si="23"/>
        <v>2500000</v>
      </c>
      <c r="O652" s="747" t="s">
        <v>4973</v>
      </c>
    </row>
    <row r="653" spans="1:15" hidden="1" x14ac:dyDescent="0.25">
      <c r="A653" s="428">
        <f t="shared" si="24"/>
        <v>643</v>
      </c>
      <c r="B653" s="76" t="s">
        <v>87</v>
      </c>
      <c r="C653" s="662" t="s">
        <v>4969</v>
      </c>
      <c r="D653" s="439">
        <v>44893</v>
      </c>
      <c r="E653" s="441">
        <v>44900</v>
      </c>
      <c r="F653" s="450">
        <v>10500000</v>
      </c>
      <c r="G653" s="450">
        <v>12500000</v>
      </c>
      <c r="H653" s="573" t="s">
        <v>17</v>
      </c>
      <c r="I653" s="107"/>
      <c r="J653" s="107"/>
      <c r="K653" s="128"/>
      <c r="L653" s="107"/>
      <c r="M653" s="107"/>
      <c r="N653" s="101">
        <f t="shared" si="23"/>
        <v>2000000</v>
      </c>
      <c r="O653" s="740" t="s">
        <v>4963</v>
      </c>
    </row>
    <row r="654" spans="1:15" hidden="1" x14ac:dyDescent="0.25">
      <c r="A654" s="428">
        <f t="shared" si="24"/>
        <v>644</v>
      </c>
      <c r="B654" s="434" t="s">
        <v>87</v>
      </c>
      <c r="C654" s="667" t="s">
        <v>4970</v>
      </c>
      <c r="D654" s="441">
        <v>44893</v>
      </c>
      <c r="E654" s="441">
        <v>44909</v>
      </c>
      <c r="F654" s="455">
        <v>10500000</v>
      </c>
      <c r="G654" s="454">
        <v>12750000</v>
      </c>
      <c r="H654" s="573" t="s">
        <v>17</v>
      </c>
      <c r="I654" s="137"/>
      <c r="J654" s="137"/>
      <c r="K654" s="257"/>
      <c r="L654" s="137"/>
      <c r="M654" s="137"/>
      <c r="N654" s="101">
        <f t="shared" si="23"/>
        <v>2250000</v>
      </c>
      <c r="O654" s="745" t="s">
        <v>4972</v>
      </c>
    </row>
    <row r="655" spans="1:15" hidden="1" x14ac:dyDescent="0.25">
      <c r="A655" s="428">
        <f t="shared" si="24"/>
        <v>645</v>
      </c>
      <c r="B655" s="434" t="s">
        <v>434</v>
      </c>
      <c r="C655" s="662" t="s">
        <v>4975</v>
      </c>
      <c r="D655" s="439">
        <v>44922</v>
      </c>
      <c r="E655" s="441">
        <v>44932</v>
      </c>
      <c r="F655" s="450">
        <v>15700000</v>
      </c>
      <c r="G655" s="452">
        <v>18250000</v>
      </c>
      <c r="H655" s="573" t="s">
        <v>17</v>
      </c>
      <c r="I655" s="107"/>
      <c r="J655" s="107"/>
      <c r="K655" s="128"/>
      <c r="L655" s="107"/>
      <c r="M655" s="107"/>
      <c r="N655" s="101">
        <f t="shared" si="23"/>
        <v>2550000</v>
      </c>
      <c r="O655" s="750" t="s">
        <v>4976</v>
      </c>
    </row>
    <row r="656" spans="1:15" hidden="1" x14ac:dyDescent="0.25">
      <c r="A656" s="428">
        <f t="shared" si="24"/>
        <v>646</v>
      </c>
      <c r="B656" s="434" t="s">
        <v>434</v>
      </c>
      <c r="C656" s="662" t="s">
        <v>4977</v>
      </c>
      <c r="D656" s="439">
        <v>44922</v>
      </c>
      <c r="E656" s="441">
        <v>44933</v>
      </c>
      <c r="F656" s="450">
        <v>15700000</v>
      </c>
      <c r="G656" s="452">
        <v>17300000</v>
      </c>
      <c r="H656" s="573" t="s">
        <v>17</v>
      </c>
      <c r="I656" s="107"/>
      <c r="J656" s="107"/>
      <c r="K656" s="128"/>
      <c r="L656" s="107"/>
      <c r="M656" s="107"/>
      <c r="N656" s="101">
        <f t="shared" si="23"/>
        <v>1600000</v>
      </c>
      <c r="O656" s="750" t="s">
        <v>4976</v>
      </c>
    </row>
    <row r="657" spans="1:16" hidden="1" x14ac:dyDescent="0.25">
      <c r="A657" s="428">
        <f t="shared" si="24"/>
        <v>647</v>
      </c>
      <c r="B657" s="434" t="s">
        <v>434</v>
      </c>
      <c r="C657" s="667" t="s">
        <v>5098</v>
      </c>
      <c r="D657" s="441">
        <v>44922</v>
      </c>
      <c r="E657" s="441">
        <v>44952</v>
      </c>
      <c r="F657" s="455">
        <v>15800000</v>
      </c>
      <c r="G657" s="454">
        <v>17250000</v>
      </c>
      <c r="H657" s="573" t="s">
        <v>17</v>
      </c>
      <c r="I657" s="137"/>
      <c r="J657" s="137"/>
      <c r="K657" s="257"/>
      <c r="L657" s="137"/>
      <c r="M657" s="137"/>
      <c r="N657" s="101">
        <f t="shared" si="23"/>
        <v>1450000</v>
      </c>
      <c r="O657" s="755" t="s">
        <v>5100</v>
      </c>
    </row>
    <row r="658" spans="1:16" x14ac:dyDescent="0.25">
      <c r="A658" s="428">
        <f t="shared" si="24"/>
        <v>648</v>
      </c>
      <c r="B658" s="434" t="s">
        <v>434</v>
      </c>
      <c r="C658" s="662" t="s">
        <v>5090</v>
      </c>
      <c r="D658" s="439">
        <v>44942</v>
      </c>
      <c r="E658" s="615" t="s">
        <v>379</v>
      </c>
      <c r="F658" s="450">
        <v>14600000</v>
      </c>
      <c r="G658" s="476">
        <v>14600000</v>
      </c>
      <c r="H658" s="500" t="s">
        <v>380</v>
      </c>
      <c r="I658" s="107"/>
      <c r="J658" s="107"/>
      <c r="K658" s="128"/>
      <c r="L658" s="107"/>
      <c r="M658" s="107"/>
      <c r="N658" s="101">
        <f t="shared" si="23"/>
        <v>0</v>
      </c>
      <c r="O658" s="501"/>
    </row>
    <row r="659" spans="1:16" x14ac:dyDescent="0.25">
      <c r="A659" s="428">
        <f t="shared" si="24"/>
        <v>649</v>
      </c>
      <c r="B659" s="434" t="s">
        <v>434</v>
      </c>
      <c r="C659" s="662" t="s">
        <v>5091</v>
      </c>
      <c r="D659" s="439">
        <v>44942</v>
      </c>
      <c r="E659" s="615" t="s">
        <v>379</v>
      </c>
      <c r="F659" s="450">
        <v>15350000</v>
      </c>
      <c r="G659" s="476">
        <v>15350000</v>
      </c>
      <c r="H659" s="500" t="s">
        <v>380</v>
      </c>
      <c r="I659" s="107"/>
      <c r="J659" s="107"/>
      <c r="K659" s="128"/>
      <c r="L659" s="107"/>
      <c r="M659" s="107"/>
      <c r="N659" s="101">
        <f t="shared" si="23"/>
        <v>0</v>
      </c>
      <c r="O659" s="501"/>
    </row>
    <row r="660" spans="1:16" hidden="1" x14ac:dyDescent="0.25">
      <c r="A660" s="428">
        <f t="shared" si="24"/>
        <v>650</v>
      </c>
      <c r="B660" s="434" t="s">
        <v>434</v>
      </c>
      <c r="C660" s="662" t="s">
        <v>5092</v>
      </c>
      <c r="D660" s="439">
        <v>44942</v>
      </c>
      <c r="E660" s="441">
        <v>44949</v>
      </c>
      <c r="F660" s="450">
        <v>15350000</v>
      </c>
      <c r="G660" s="452">
        <v>17250000</v>
      </c>
      <c r="H660" s="573" t="s">
        <v>17</v>
      </c>
      <c r="I660" s="107"/>
      <c r="J660" s="107"/>
      <c r="K660" s="128"/>
      <c r="L660" s="107"/>
      <c r="M660" s="107"/>
      <c r="N660" s="101">
        <f t="shared" si="23"/>
        <v>1900000</v>
      </c>
      <c r="O660" s="755" t="s">
        <v>5100</v>
      </c>
    </row>
    <row r="661" spans="1:16" x14ac:dyDescent="0.25">
      <c r="A661" s="428">
        <f t="shared" si="24"/>
        <v>651</v>
      </c>
      <c r="B661" s="434" t="s">
        <v>434</v>
      </c>
      <c r="C661" s="662" t="s">
        <v>5093</v>
      </c>
      <c r="D661" s="439">
        <v>44942</v>
      </c>
      <c r="E661" s="615" t="s">
        <v>379</v>
      </c>
      <c r="F661" s="450">
        <v>15350000</v>
      </c>
      <c r="G661" s="476">
        <v>15350000</v>
      </c>
      <c r="H661" s="500" t="s">
        <v>380</v>
      </c>
      <c r="I661" s="107"/>
      <c r="J661" s="107"/>
      <c r="K661" s="128"/>
      <c r="L661" s="107"/>
      <c r="M661" s="107"/>
      <c r="N661" s="101">
        <f t="shared" si="23"/>
        <v>0</v>
      </c>
      <c r="O661" s="501"/>
    </row>
    <row r="662" spans="1:16" x14ac:dyDescent="0.25">
      <c r="A662" s="428">
        <f t="shared" si="24"/>
        <v>652</v>
      </c>
      <c r="B662" s="434" t="s">
        <v>434</v>
      </c>
      <c r="C662" s="662" t="s">
        <v>5094</v>
      </c>
      <c r="D662" s="439">
        <v>44942</v>
      </c>
      <c r="E662" s="615" t="s">
        <v>379</v>
      </c>
      <c r="F662" s="450">
        <v>15350000</v>
      </c>
      <c r="G662" s="476">
        <v>15350000</v>
      </c>
      <c r="H662" s="500" t="s">
        <v>380</v>
      </c>
      <c r="I662" s="107"/>
      <c r="J662" s="107"/>
      <c r="K662" s="128"/>
      <c r="L662" s="107"/>
      <c r="M662" s="107"/>
      <c r="N662" s="101">
        <f t="shared" si="23"/>
        <v>0</v>
      </c>
      <c r="O662" s="501"/>
    </row>
    <row r="663" spans="1:16" x14ac:dyDescent="0.25">
      <c r="A663" s="428">
        <f t="shared" si="24"/>
        <v>653</v>
      </c>
      <c r="B663" s="434" t="s">
        <v>434</v>
      </c>
      <c r="C663" s="662" t="s">
        <v>5095</v>
      </c>
      <c r="D663" s="439">
        <v>44942</v>
      </c>
      <c r="E663" s="615" t="s">
        <v>379</v>
      </c>
      <c r="F663" s="450">
        <v>15350000</v>
      </c>
      <c r="G663" s="476">
        <v>15350000</v>
      </c>
      <c r="H663" s="500" t="s">
        <v>380</v>
      </c>
      <c r="I663" s="107"/>
      <c r="J663" s="107"/>
      <c r="K663" s="128"/>
      <c r="L663" s="107"/>
      <c r="M663" s="107"/>
      <c r="N663" s="101">
        <f t="shared" si="23"/>
        <v>0</v>
      </c>
      <c r="O663" s="501"/>
    </row>
    <row r="664" spans="1:16" hidden="1" x14ac:dyDescent="0.25">
      <c r="A664" s="428">
        <f t="shared" si="24"/>
        <v>654</v>
      </c>
      <c r="B664" s="434" t="s">
        <v>434</v>
      </c>
      <c r="C664" s="662" t="s">
        <v>5096</v>
      </c>
      <c r="D664" s="439">
        <v>44942</v>
      </c>
      <c r="E664" s="441">
        <v>44953</v>
      </c>
      <c r="F664" s="450">
        <v>15350000</v>
      </c>
      <c r="G664" s="452">
        <v>17250000</v>
      </c>
      <c r="H664" s="573" t="s">
        <v>17</v>
      </c>
      <c r="I664" s="107"/>
      <c r="J664" s="107"/>
      <c r="K664" s="128"/>
      <c r="L664" s="107"/>
      <c r="M664" s="107"/>
      <c r="N664" s="101">
        <f t="shared" si="23"/>
        <v>1900000</v>
      </c>
      <c r="O664" s="755" t="s">
        <v>5100</v>
      </c>
    </row>
    <row r="665" spans="1:16" x14ac:dyDescent="0.25">
      <c r="A665" s="428">
        <f t="shared" si="24"/>
        <v>655</v>
      </c>
      <c r="B665" s="434" t="s">
        <v>434</v>
      </c>
      <c r="C665" s="662" t="s">
        <v>5097</v>
      </c>
      <c r="D665" s="439">
        <v>44942</v>
      </c>
      <c r="E665" s="615" t="s">
        <v>379</v>
      </c>
      <c r="F665" s="450">
        <v>15350000</v>
      </c>
      <c r="G665" s="476">
        <v>15350000</v>
      </c>
      <c r="H665" s="500" t="s">
        <v>380</v>
      </c>
      <c r="I665" s="107"/>
      <c r="J665" s="107"/>
      <c r="K665" s="128"/>
      <c r="L665" s="107"/>
      <c r="M665" s="107"/>
      <c r="N665" s="101">
        <f t="shared" si="23"/>
        <v>0</v>
      </c>
      <c r="O665" s="501"/>
    </row>
    <row r="666" spans="1:16" x14ac:dyDescent="0.25">
      <c r="A666" s="428">
        <f t="shared" si="24"/>
        <v>656</v>
      </c>
      <c r="B666" s="434" t="s">
        <v>87</v>
      </c>
      <c r="C666" s="662" t="s">
        <v>5089</v>
      </c>
      <c r="D666" s="439">
        <v>44942</v>
      </c>
      <c r="E666" s="615" t="s">
        <v>379</v>
      </c>
      <c r="F666" s="450">
        <v>12250000</v>
      </c>
      <c r="G666" s="476">
        <v>12250000</v>
      </c>
      <c r="H666" s="500" t="s">
        <v>380</v>
      </c>
      <c r="I666" s="107"/>
      <c r="J666" s="107"/>
      <c r="K666" s="128"/>
      <c r="L666" s="107"/>
      <c r="M666" s="107"/>
      <c r="N666" s="101">
        <f t="shared" si="23"/>
        <v>0</v>
      </c>
      <c r="O666" s="501"/>
    </row>
    <row r="667" spans="1:16" hidden="1" x14ac:dyDescent="0.25">
      <c r="A667" s="428">
        <f t="shared" si="24"/>
        <v>657</v>
      </c>
      <c r="B667" s="434" t="s">
        <v>87</v>
      </c>
      <c r="C667" s="662" t="s">
        <v>5088</v>
      </c>
      <c r="D667" s="439">
        <v>44942</v>
      </c>
      <c r="E667" s="441">
        <v>44950</v>
      </c>
      <c r="F667" s="450">
        <v>12000000</v>
      </c>
      <c r="G667" s="452">
        <v>13000000</v>
      </c>
      <c r="H667" s="573" t="s">
        <v>17</v>
      </c>
      <c r="I667" s="107"/>
      <c r="J667" s="107"/>
      <c r="K667" s="128"/>
      <c r="L667" s="107"/>
      <c r="M667" s="107"/>
      <c r="N667" s="101">
        <f t="shared" si="23"/>
        <v>1000000</v>
      </c>
      <c r="O667" s="755" t="s">
        <v>5100</v>
      </c>
    </row>
    <row r="668" spans="1:16" hidden="1" x14ac:dyDescent="0.25">
      <c r="A668" s="428">
        <f t="shared" si="24"/>
        <v>658</v>
      </c>
      <c r="B668" s="76" t="s">
        <v>87</v>
      </c>
      <c r="C668" s="662" t="s">
        <v>5101</v>
      </c>
      <c r="D668" s="439">
        <v>44942</v>
      </c>
      <c r="E668" s="441">
        <v>44950</v>
      </c>
      <c r="F668" s="450">
        <v>12000000</v>
      </c>
      <c r="G668" s="452">
        <v>12750000</v>
      </c>
      <c r="H668" s="573" t="s">
        <v>17</v>
      </c>
      <c r="I668" s="107"/>
      <c r="J668" s="107"/>
      <c r="K668" s="128"/>
      <c r="L668" s="107"/>
      <c r="M668" s="107"/>
      <c r="N668" s="101">
        <f t="shared" si="23"/>
        <v>750000</v>
      </c>
      <c r="O668" s="755" t="s">
        <v>5100</v>
      </c>
    </row>
    <row r="669" spans="1:16" x14ac:dyDescent="0.25">
      <c r="A669" s="412"/>
      <c r="B669" s="435"/>
      <c r="C669" s="671"/>
      <c r="D669" s="442"/>
      <c r="E669" s="442"/>
      <c r="G669" s="683"/>
      <c r="H669" s="684"/>
      <c r="I669" s="135"/>
      <c r="J669" s="135"/>
      <c r="K669" s="62"/>
      <c r="L669" s="135"/>
      <c r="M669" s="135"/>
      <c r="N669" s="135"/>
      <c r="O669" s="715"/>
    </row>
    <row r="670" spans="1:16" x14ac:dyDescent="0.25">
      <c r="A670" s="412"/>
      <c r="B670" s="435" t="s">
        <v>956</v>
      </c>
      <c r="D670" s="442"/>
      <c r="E670" s="565" t="s">
        <v>1473</v>
      </c>
      <c r="F670" s="458" t="s">
        <v>2563</v>
      </c>
      <c r="G670" s="135"/>
      <c r="H670" s="103" t="s">
        <v>956</v>
      </c>
      <c r="I670" s="103"/>
      <c r="J670" s="103"/>
      <c r="K670" s="4"/>
      <c r="L670" s="103"/>
      <c r="M670" s="103" t="s">
        <v>786</v>
      </c>
      <c r="N670" s="103"/>
      <c r="O670" s="262"/>
      <c r="P670" s="103"/>
    </row>
    <row r="671" spans="1:16" ht="15" customHeight="1" x14ac:dyDescent="0.25">
      <c r="A671" s="412"/>
      <c r="B671" s="435"/>
      <c r="C671" s="349" t="s">
        <v>956</v>
      </c>
      <c r="D671" s="318" t="s">
        <v>1103</v>
      </c>
      <c r="E671" s="565"/>
      <c r="F671" s="544"/>
      <c r="G671" s="103"/>
      <c r="H671" s="103"/>
      <c r="I671" s="103"/>
      <c r="J671" s="103"/>
      <c r="K671" s="4"/>
      <c r="L671" s="103"/>
      <c r="M671" s="103"/>
      <c r="N671" s="103"/>
    </row>
    <row r="672" spans="1:16" ht="15" customHeight="1" x14ac:dyDescent="0.25">
      <c r="A672" s="412"/>
      <c r="B672" s="838">
        <v>2023</v>
      </c>
      <c r="C672" s="835"/>
      <c r="D672" s="571">
        <v>6</v>
      </c>
      <c r="E672" s="753" t="s">
        <v>5100</v>
      </c>
      <c r="F672" s="569">
        <f>SUM(F660,F668,F667,F657,F664,F640)</f>
        <v>78500000</v>
      </c>
      <c r="G672" s="355">
        <f>SUM(G668,G660,G667,G657,G664,G640)</f>
        <v>85650000</v>
      </c>
      <c r="H672" s="355"/>
      <c r="I672" s="355"/>
      <c r="J672" s="355"/>
      <c r="K672" s="570"/>
      <c r="L672" s="355"/>
      <c r="M672" s="355"/>
      <c r="N672" s="355">
        <f>SUM(N668,N660,N667,N657,N664,N640)</f>
        <v>7150000</v>
      </c>
      <c r="O672" s="80" t="s">
        <v>362</v>
      </c>
    </row>
    <row r="673" spans="1:16" ht="15" customHeight="1" x14ac:dyDescent="0.25">
      <c r="A673" s="412"/>
      <c r="B673" s="839"/>
      <c r="C673" s="836"/>
      <c r="D673" s="323">
        <v>1</v>
      </c>
      <c r="E673" s="752" t="s">
        <v>5099</v>
      </c>
      <c r="F673" s="456">
        <f>SUM(F550)</f>
        <v>9600000</v>
      </c>
      <c r="G673" s="107">
        <f>SUM(G550)</f>
        <v>10250000</v>
      </c>
      <c r="H673" s="306"/>
      <c r="I673" s="306"/>
      <c r="J673" s="306"/>
      <c r="K673" s="419"/>
      <c r="L673" s="306"/>
      <c r="M673" s="306"/>
      <c r="N673" s="107">
        <f>SUM(N550)</f>
        <v>650000</v>
      </c>
      <c r="O673" s="80" t="s">
        <v>362</v>
      </c>
    </row>
    <row r="674" spans="1:16" ht="15" customHeight="1" x14ac:dyDescent="0.25">
      <c r="A674" s="412"/>
      <c r="B674" s="839"/>
      <c r="C674" s="836"/>
      <c r="D674" s="723">
        <v>0</v>
      </c>
      <c r="E674" s="751" t="s">
        <v>4978</v>
      </c>
      <c r="F674" s="450">
        <v>0</v>
      </c>
      <c r="G674" s="86">
        <v>0</v>
      </c>
      <c r="H674" s="107"/>
      <c r="I674" s="107"/>
      <c r="J674" s="107"/>
      <c r="K674" s="128"/>
      <c r="L674" s="107"/>
      <c r="M674" s="107"/>
      <c r="N674" s="20"/>
      <c r="O674" s="80" t="s">
        <v>362</v>
      </c>
    </row>
    <row r="675" spans="1:16" ht="15" customHeight="1" x14ac:dyDescent="0.25">
      <c r="A675" s="412"/>
      <c r="B675" s="840"/>
      <c r="C675" s="837"/>
      <c r="D675" s="571">
        <v>2</v>
      </c>
      <c r="E675" s="749" t="s">
        <v>4976</v>
      </c>
      <c r="F675" s="456">
        <f>SUM(F655,F656)</f>
        <v>31400000</v>
      </c>
      <c r="G675" s="306">
        <f>SUM(G655,G656)</f>
        <v>35550000</v>
      </c>
      <c r="H675" s="306"/>
      <c r="I675" s="306"/>
      <c r="J675" s="306"/>
      <c r="K675" s="419"/>
      <c r="L675" s="306"/>
      <c r="M675" s="306"/>
      <c r="N675" s="306">
        <f>SUM(N655,N656)</f>
        <v>4150000</v>
      </c>
    </row>
    <row r="676" spans="1:16" ht="15" customHeight="1" x14ac:dyDescent="0.25">
      <c r="A676" s="412"/>
      <c r="B676" s="841">
        <v>2022</v>
      </c>
      <c r="C676" s="835"/>
      <c r="D676" s="723">
        <v>0</v>
      </c>
      <c r="E676" s="748" t="s">
        <v>4974</v>
      </c>
      <c r="F676" s="569">
        <v>0</v>
      </c>
      <c r="G676" s="355">
        <v>0</v>
      </c>
      <c r="H676" s="355"/>
      <c r="I676" s="355"/>
      <c r="J676" s="355"/>
      <c r="K676" s="570"/>
      <c r="L676" s="355"/>
      <c r="M676" s="355"/>
      <c r="N676" s="355">
        <v>0</v>
      </c>
    </row>
    <row r="677" spans="1:16" ht="15" customHeight="1" x14ac:dyDescent="0.25">
      <c r="A677" s="412"/>
      <c r="B677" s="841"/>
      <c r="C677" s="836"/>
      <c r="D677" s="571">
        <v>3</v>
      </c>
      <c r="E677" s="746" t="s">
        <v>4973</v>
      </c>
      <c r="F677" s="569">
        <f>SUM(F643,F652,F649)</f>
        <v>29250000</v>
      </c>
      <c r="G677" s="355">
        <f>SUM(G652,G643,G649)</f>
        <v>33500000</v>
      </c>
      <c r="H677" s="355"/>
      <c r="I677" s="355"/>
      <c r="J677" s="355"/>
      <c r="K677" s="570"/>
      <c r="L677" s="355"/>
      <c r="M677" s="355"/>
      <c r="N677" s="355">
        <f>SUM(N652,N643,N649)</f>
        <v>4250000</v>
      </c>
    </row>
    <row r="678" spans="1:16" ht="15" customHeight="1" x14ac:dyDescent="0.25">
      <c r="A678" s="412"/>
      <c r="B678" s="841"/>
      <c r="C678" s="836"/>
      <c r="D678" s="571">
        <v>1</v>
      </c>
      <c r="E678" s="744" t="s">
        <v>4972</v>
      </c>
      <c r="F678" s="456">
        <f>SUM(F654)</f>
        <v>10500000</v>
      </c>
      <c r="G678" s="107">
        <f>SUM(G654)</f>
        <v>12750000</v>
      </c>
      <c r="H678" s="107"/>
      <c r="I678" s="107"/>
      <c r="J678" s="107"/>
      <c r="K678" s="128"/>
      <c r="L678" s="107"/>
      <c r="M678" s="107"/>
      <c r="N678" s="107">
        <f>SUM(N654)</f>
        <v>2250000</v>
      </c>
    </row>
    <row r="679" spans="1:16" ht="15" customHeight="1" x14ac:dyDescent="0.25">
      <c r="A679" s="412"/>
      <c r="B679" s="841"/>
      <c r="C679" s="837"/>
      <c r="D679" s="571">
        <v>3</v>
      </c>
      <c r="E679" s="741" t="s">
        <v>4971</v>
      </c>
      <c r="F679" s="456">
        <f>SUM(F651,F648,F637)</f>
        <v>29000000</v>
      </c>
      <c r="G679" s="306">
        <f>SUM(G651,G648,G637)</f>
        <v>33050000</v>
      </c>
      <c r="H679" s="306"/>
      <c r="I679" s="306"/>
      <c r="J679" s="306"/>
      <c r="K679" s="419"/>
      <c r="L679" s="306"/>
      <c r="M679" s="306"/>
      <c r="N679" s="306">
        <f>SUM(N651,N648,N637)</f>
        <v>4050000</v>
      </c>
    </row>
    <row r="680" spans="1:16" ht="15" customHeight="1" x14ac:dyDescent="0.25">
      <c r="A680" s="412"/>
      <c r="B680" s="841"/>
      <c r="C680" s="835"/>
      <c r="D680" s="323">
        <v>1</v>
      </c>
      <c r="E680" s="738" t="s">
        <v>4963</v>
      </c>
      <c r="F680" s="456">
        <f>SUM(F653)</f>
        <v>10500000</v>
      </c>
      <c r="G680" s="306">
        <f>SUM(G653)</f>
        <v>12500000</v>
      </c>
      <c r="H680" s="306"/>
      <c r="I680" s="306"/>
      <c r="J680" s="306"/>
      <c r="K680" s="419"/>
      <c r="L680" s="306"/>
      <c r="M680" s="306"/>
      <c r="N680" s="306">
        <f>SUM(N653)</f>
        <v>2000000</v>
      </c>
    </row>
    <row r="681" spans="1:16" ht="15" customHeight="1" x14ac:dyDescent="0.25">
      <c r="A681" s="412"/>
      <c r="B681" s="841"/>
      <c r="C681" s="836"/>
      <c r="D681" s="571">
        <v>2</v>
      </c>
      <c r="E681" s="736" t="s">
        <v>4962</v>
      </c>
      <c r="F681" s="569">
        <f>SUM(F632,F629)</f>
        <v>34000000</v>
      </c>
      <c r="G681" s="355">
        <f>SUM(G632,G629)</f>
        <v>35000000</v>
      </c>
      <c r="H681" s="355"/>
      <c r="I681" s="355"/>
      <c r="J681" s="355"/>
      <c r="K681" s="570"/>
      <c r="L681" s="355"/>
      <c r="M681" s="355"/>
      <c r="N681" s="355">
        <f>SUM(N632,N629)</f>
        <v>1000000</v>
      </c>
    </row>
    <row r="682" spans="1:16" ht="15" customHeight="1" x14ac:dyDescent="0.25">
      <c r="A682" s="412"/>
      <c r="B682" s="841"/>
      <c r="C682" s="836"/>
      <c r="D682" s="323">
        <v>3</v>
      </c>
      <c r="E682" s="734" t="s">
        <v>4902</v>
      </c>
      <c r="F682" s="456">
        <f>SUM(F647,F634,F642)</f>
        <v>24000000</v>
      </c>
      <c r="G682" s="306">
        <f>SUM(G647,G634,G642)</f>
        <v>25950000</v>
      </c>
      <c r="H682" s="306"/>
      <c r="I682" s="306"/>
      <c r="J682" s="306"/>
      <c r="K682" s="419"/>
      <c r="L682" s="306"/>
      <c r="M682" s="306"/>
      <c r="N682" s="306">
        <f>SUM(N647,N634,N642)</f>
        <v>1950000</v>
      </c>
    </row>
    <row r="683" spans="1:16" ht="15" customHeight="1" x14ac:dyDescent="0.25">
      <c r="A683" s="412"/>
      <c r="B683" s="841"/>
      <c r="C683" s="837"/>
      <c r="D683" s="323">
        <v>1</v>
      </c>
      <c r="E683" s="732" t="s">
        <v>4900</v>
      </c>
      <c r="F683" s="456">
        <f>SUM(F638)</f>
        <v>8000000</v>
      </c>
      <c r="G683" s="306">
        <f>SUM(G638)</f>
        <v>8550000</v>
      </c>
      <c r="H683" s="306"/>
      <c r="I683" s="306"/>
      <c r="J683" s="306"/>
      <c r="K683" s="419"/>
      <c r="L683" s="306"/>
      <c r="M683" s="306"/>
      <c r="N683" s="306">
        <f>SUM(N638)</f>
        <v>550000</v>
      </c>
    </row>
    <row r="684" spans="1:16" ht="15" customHeight="1" x14ac:dyDescent="0.25">
      <c r="A684" s="412"/>
      <c r="B684" s="841"/>
      <c r="C684" s="826"/>
      <c r="D684" s="323">
        <v>5</v>
      </c>
      <c r="E684" s="730" t="s">
        <v>4898</v>
      </c>
      <c r="F684" s="456">
        <f>SUM(F635,F639,F625,F641,F646)</f>
        <v>49000000</v>
      </c>
      <c r="G684" s="305">
        <f>SUM(G635,G639,G625,G641,G646)</f>
        <v>53750000</v>
      </c>
      <c r="H684" s="305"/>
      <c r="I684" s="305"/>
      <c r="J684" s="305"/>
      <c r="K684" s="348"/>
      <c r="L684" s="305"/>
      <c r="M684" s="305"/>
      <c r="N684" s="305">
        <f>SUM(N635,N639,N625,N641,N646)</f>
        <v>4750000</v>
      </c>
    </row>
    <row r="685" spans="1:16" ht="15" customHeight="1" x14ac:dyDescent="0.25">
      <c r="A685" s="412"/>
      <c r="B685" s="841"/>
      <c r="C685" s="827"/>
      <c r="D685" s="323">
        <v>2</v>
      </c>
      <c r="E685" s="728" t="s">
        <v>4851</v>
      </c>
      <c r="F685" s="456">
        <f>SUM(F644,F633)</f>
        <v>16000000</v>
      </c>
      <c r="G685" s="306">
        <f>SUM(G644,G633)</f>
        <v>18000000</v>
      </c>
      <c r="H685" s="306"/>
      <c r="I685" s="306"/>
      <c r="J685" s="306"/>
      <c r="K685" s="419"/>
      <c r="L685" s="306"/>
      <c r="M685" s="306"/>
      <c r="N685" s="306">
        <f>SUM(N644,N633)</f>
        <v>2000000</v>
      </c>
    </row>
    <row r="686" spans="1:16" ht="15" customHeight="1" x14ac:dyDescent="0.25">
      <c r="A686" s="412"/>
      <c r="B686" s="841"/>
      <c r="C686" s="827"/>
      <c r="D686" s="222">
        <v>6</v>
      </c>
      <c r="E686" s="726" t="s">
        <v>4835</v>
      </c>
      <c r="F686" s="456">
        <f>SUM(F619,F607,F620,F624,F645,F612)</f>
        <v>95600000</v>
      </c>
      <c r="G686" s="306">
        <f>SUM(G619,G607,G620,G624,G645,G612)</f>
        <v>98500000</v>
      </c>
      <c r="H686" s="306"/>
      <c r="I686" s="306"/>
      <c r="J686" s="306"/>
      <c r="K686" s="419"/>
      <c r="L686" s="306"/>
      <c r="M686" s="306"/>
      <c r="N686" s="306">
        <f>SUM(N619,N607,N620,N624,N645,N612)</f>
        <v>2900000</v>
      </c>
    </row>
    <row r="687" spans="1:16" ht="15" customHeight="1" x14ac:dyDescent="0.25">
      <c r="A687" s="412"/>
      <c r="B687" s="841"/>
      <c r="C687" s="828"/>
      <c r="D687" s="323">
        <v>2</v>
      </c>
      <c r="E687" s="724" t="s">
        <v>4688</v>
      </c>
      <c r="F687" s="456">
        <f>SUM(F602,F622)</f>
        <v>36700000</v>
      </c>
      <c r="G687" s="306">
        <f>SUM(G602,G622)</f>
        <v>37500000</v>
      </c>
      <c r="H687" s="306"/>
      <c r="I687" s="306"/>
      <c r="J687" s="306"/>
      <c r="K687" s="419"/>
      <c r="L687" s="306"/>
      <c r="M687" s="306"/>
      <c r="N687" s="306">
        <f>SUM(N602,N622)</f>
        <v>800000</v>
      </c>
      <c r="P687" s="3"/>
    </row>
    <row r="688" spans="1:16" ht="15" customHeight="1" x14ac:dyDescent="0.25">
      <c r="A688" s="412"/>
      <c r="B688" s="841"/>
      <c r="C688" s="855" t="s">
        <v>4687</v>
      </c>
      <c r="D688" s="571">
        <v>4</v>
      </c>
      <c r="E688" s="721" t="s">
        <v>4686</v>
      </c>
      <c r="F688" s="456">
        <f>SUM(F575,F621,F623,F630)</f>
        <v>60600000</v>
      </c>
      <c r="G688" s="306">
        <f>SUM(G575,G621,G623,G630)</f>
        <v>64500000</v>
      </c>
      <c r="H688" s="306"/>
      <c r="I688" s="306"/>
      <c r="J688" s="306"/>
      <c r="K688" s="419"/>
      <c r="L688" s="306"/>
      <c r="M688" s="306"/>
      <c r="N688" s="306">
        <f>SUM(N575,N621,N623,N630)</f>
        <v>3900000</v>
      </c>
      <c r="P688" s="12"/>
    </row>
    <row r="689" spans="1:16" ht="15" customHeight="1" x14ac:dyDescent="0.25">
      <c r="A689" s="412"/>
      <c r="B689" s="841"/>
      <c r="C689" s="856"/>
      <c r="D689" s="323">
        <v>8</v>
      </c>
      <c r="E689" s="718" t="s">
        <v>4669</v>
      </c>
      <c r="F689" s="456">
        <f>SUM(F614,F613,F617,F618,F628,F627,F472,F631)</f>
        <v>128225000</v>
      </c>
      <c r="G689" s="306">
        <f>SUM(G614,G613,G617,G618,G628,G627,G472,G631)</f>
        <v>136050000</v>
      </c>
      <c r="H689" s="306"/>
      <c r="I689" s="306"/>
      <c r="J689" s="306"/>
      <c r="K689" s="419"/>
      <c r="L689" s="306"/>
      <c r="M689" s="306"/>
      <c r="N689" s="306">
        <f>SUM(N614,N613,N617,N618,N628,N627,N472,N631)</f>
        <v>7825000</v>
      </c>
      <c r="P689" s="12"/>
    </row>
    <row r="690" spans="1:16" ht="15" customHeight="1" x14ac:dyDescent="0.25">
      <c r="A690" s="412"/>
      <c r="B690" s="841"/>
      <c r="C690" s="856"/>
      <c r="D690" s="323">
        <v>5</v>
      </c>
      <c r="E690" s="716" t="s">
        <v>4661</v>
      </c>
      <c r="F690" s="456">
        <f>SUM(F583,F609,F610,F611,F600)</f>
        <v>74000000</v>
      </c>
      <c r="G690" s="306">
        <f>SUM(G611,G610,G609,G583,G600)</f>
        <v>81500000</v>
      </c>
      <c r="H690" s="306"/>
      <c r="I690" s="306"/>
      <c r="J690" s="306"/>
      <c r="K690" s="419"/>
      <c r="L690" s="306"/>
      <c r="M690" s="306"/>
      <c r="N690" s="306">
        <f>SUM(N583,N600,N609,N610,N611)</f>
        <v>7500000</v>
      </c>
      <c r="P690" s="12"/>
    </row>
    <row r="691" spans="1:16" ht="15" customHeight="1" x14ac:dyDescent="0.25">
      <c r="A691" s="412"/>
      <c r="B691" s="841"/>
      <c r="C691" s="857"/>
      <c r="D691" s="323">
        <v>2</v>
      </c>
      <c r="E691" s="688" t="s">
        <v>4468</v>
      </c>
      <c r="F691" s="456">
        <f>SUM(F589,F581)</f>
        <v>19200000</v>
      </c>
      <c r="G691" s="305">
        <f>SUM(G589,G581)</f>
        <v>20900000</v>
      </c>
      <c r="H691" s="305"/>
      <c r="I691" s="305"/>
      <c r="J691" s="305"/>
      <c r="K691" s="348"/>
      <c r="L691" s="305"/>
      <c r="M691" s="305"/>
      <c r="N691" s="305">
        <v>1700000</v>
      </c>
      <c r="P691" s="43"/>
    </row>
    <row r="692" spans="1:16" ht="15" customHeight="1" x14ac:dyDescent="0.25">
      <c r="A692" s="412"/>
      <c r="B692" s="841"/>
      <c r="C692" s="843" t="s">
        <v>4466</v>
      </c>
      <c r="D692" s="723">
        <v>0</v>
      </c>
      <c r="E692" s="714" t="s">
        <v>4467</v>
      </c>
      <c r="F692" s="456">
        <v>0</v>
      </c>
      <c r="G692" s="306">
        <v>0</v>
      </c>
      <c r="H692" s="306"/>
      <c r="I692" s="306"/>
      <c r="J692" s="306"/>
      <c r="K692" s="419"/>
      <c r="L692" s="306"/>
      <c r="M692" s="306"/>
      <c r="N692" s="306">
        <v>0</v>
      </c>
      <c r="P692" s="3"/>
    </row>
    <row r="693" spans="1:16" ht="15" customHeight="1" x14ac:dyDescent="0.25">
      <c r="A693" s="412"/>
      <c r="B693" s="841"/>
      <c r="C693" s="844"/>
      <c r="D693" s="323">
        <v>8</v>
      </c>
      <c r="E693" s="707" t="s">
        <v>4459</v>
      </c>
      <c r="F693" s="456">
        <f>SUM(F606,F605,F604,F601,F592,F599,F593,F562)</f>
        <v>132550000</v>
      </c>
      <c r="G693" s="107">
        <f>SUM(G606,,G605,G604,G601,G592,G599,G562,G593)</f>
        <v>140800000</v>
      </c>
      <c r="H693" s="107"/>
      <c r="I693" s="107"/>
      <c r="J693" s="107"/>
      <c r="K693" s="128"/>
      <c r="L693" s="107"/>
      <c r="M693" s="107"/>
      <c r="N693" s="107">
        <f>SUM(N592,N601,N604,N605,N606,N599,N593,N562)</f>
        <v>8250000</v>
      </c>
      <c r="P693" s="12"/>
    </row>
    <row r="694" spans="1:16" ht="15" customHeight="1" x14ac:dyDescent="0.25">
      <c r="A694" s="412"/>
      <c r="B694" s="841"/>
      <c r="C694" s="844"/>
      <c r="D694" s="571">
        <v>6</v>
      </c>
      <c r="E694" s="704" t="s">
        <v>4446</v>
      </c>
      <c r="F694" s="569">
        <f>SUM(F603,F598,F596,F595,F588,F597)</f>
        <v>93600000</v>
      </c>
      <c r="G694" s="355">
        <f>SUM(G603,G598,G596,G595,G588,G597)</f>
        <v>101450000</v>
      </c>
      <c r="H694" s="355"/>
      <c r="I694" s="355"/>
      <c r="J694" s="355"/>
      <c r="K694" s="570"/>
      <c r="L694" s="355"/>
      <c r="M694" s="355"/>
      <c r="N694" s="355">
        <f>SUM(N603,N598,N596,N595,N588,N597)</f>
        <v>7850000</v>
      </c>
      <c r="P694" s="12"/>
    </row>
    <row r="695" spans="1:16" ht="15" customHeight="1" x14ac:dyDescent="0.25">
      <c r="A695" s="412"/>
      <c r="B695" s="841"/>
      <c r="C695" s="845"/>
      <c r="D695" s="571">
        <v>1</v>
      </c>
      <c r="E695" s="702" t="s">
        <v>4443</v>
      </c>
      <c r="F695" s="569">
        <f>SUM(F586)</f>
        <v>9600000</v>
      </c>
      <c r="G695" s="355">
        <f>SUM(G586)</f>
        <v>10500000</v>
      </c>
      <c r="H695" s="355"/>
      <c r="I695" s="355"/>
      <c r="J695" s="355"/>
      <c r="K695" s="570"/>
      <c r="L695" s="355"/>
      <c r="M695" s="355"/>
      <c r="N695" s="355">
        <f>SUM(N586)</f>
        <v>900000</v>
      </c>
      <c r="P695" s="43"/>
    </row>
    <row r="696" spans="1:16" ht="15" customHeight="1" x14ac:dyDescent="0.25">
      <c r="A696" s="412"/>
      <c r="B696" s="841"/>
      <c r="C696" s="846" t="s">
        <v>4445</v>
      </c>
      <c r="D696" s="323">
        <v>4</v>
      </c>
      <c r="E696" s="700" t="s">
        <v>4442</v>
      </c>
      <c r="F696" s="456">
        <f>SUM(F585,F590,F582,F579)</f>
        <v>38400000</v>
      </c>
      <c r="G696" s="306">
        <f>SUM(G585,G590,G582,G579)</f>
        <v>41900000</v>
      </c>
      <c r="H696" s="306"/>
      <c r="I696" s="306"/>
      <c r="J696" s="306"/>
      <c r="K696" s="419"/>
      <c r="L696" s="306"/>
      <c r="M696" s="306"/>
      <c r="N696" s="306">
        <f>SUM(N585,N582,N579,N590)</f>
        <v>3500000</v>
      </c>
      <c r="P696" s="3"/>
    </row>
    <row r="697" spans="1:16" ht="15" customHeight="1" x14ac:dyDescent="0.25">
      <c r="A697" s="412"/>
      <c r="B697" s="841"/>
      <c r="C697" s="847"/>
      <c r="D697" s="323">
        <v>5</v>
      </c>
      <c r="E697" s="698" t="s">
        <v>4430</v>
      </c>
      <c r="F697" s="456">
        <f>SUM(F546,F587,F567,F591,F584)</f>
        <v>56800000</v>
      </c>
      <c r="G697" s="306">
        <f>SUM(G546,G567,G587,G591,G584)</f>
        <v>63050000</v>
      </c>
      <c r="H697" s="306"/>
      <c r="I697" s="306"/>
      <c r="J697" s="306"/>
      <c r="K697" s="419"/>
      <c r="L697" s="306"/>
      <c r="M697" s="306"/>
      <c r="N697" s="306">
        <f>SUM(N546,N587,N567,N591,N584)</f>
        <v>6250000</v>
      </c>
      <c r="P697" s="12"/>
    </row>
    <row r="698" spans="1:16" ht="15" customHeight="1" x14ac:dyDescent="0.25">
      <c r="A698" s="412"/>
      <c r="B698" s="841"/>
      <c r="C698" s="847"/>
      <c r="D698" s="323">
        <v>1</v>
      </c>
      <c r="E698" s="696" t="s">
        <v>4345</v>
      </c>
      <c r="F698" s="456">
        <f>SUM(F578)</f>
        <v>9500000</v>
      </c>
      <c r="G698" s="306">
        <f>SUM(G578)</f>
        <v>10500000</v>
      </c>
      <c r="H698" s="306"/>
      <c r="I698" s="306"/>
      <c r="J698" s="306"/>
      <c r="K698" s="419"/>
      <c r="L698" s="306"/>
      <c r="M698" s="306"/>
      <c r="N698" s="306">
        <f>SUM(N578)</f>
        <v>1000000</v>
      </c>
      <c r="P698" s="12"/>
    </row>
    <row r="699" spans="1:16" ht="15" customHeight="1" x14ac:dyDescent="0.25">
      <c r="A699" s="412"/>
      <c r="B699" s="841"/>
      <c r="C699" s="848"/>
      <c r="D699" s="571">
        <v>5</v>
      </c>
      <c r="E699" s="694" t="s">
        <v>4282</v>
      </c>
      <c r="F699" s="569">
        <f>SUM(F577,F576,F571,F569,F570)</f>
        <v>67000000</v>
      </c>
      <c r="G699" s="355">
        <f>SUM(G577,G576,G571,G569,G570)</f>
        <v>74250000</v>
      </c>
      <c r="H699" s="355"/>
      <c r="I699" s="355"/>
      <c r="J699" s="355"/>
      <c r="K699" s="570"/>
      <c r="L699" s="355"/>
      <c r="M699" s="355"/>
      <c r="N699" s="355">
        <f>SUM(N577,N576,N571,N569,N570)</f>
        <v>7250000</v>
      </c>
      <c r="P699" s="43"/>
    </row>
    <row r="700" spans="1:16" ht="15" customHeight="1" x14ac:dyDescent="0.25">
      <c r="A700" s="412"/>
      <c r="B700" s="841"/>
      <c r="C700" s="849" t="s">
        <v>4444</v>
      </c>
      <c r="D700" s="571">
        <v>4</v>
      </c>
      <c r="E700" s="690" t="s">
        <v>4271</v>
      </c>
      <c r="F700" s="569">
        <f>SUM(F580,F574,F573,F572)</f>
        <v>39500000</v>
      </c>
      <c r="G700" s="355">
        <f>SUM(G580,G574,G573,G572)</f>
        <v>44500000</v>
      </c>
      <c r="H700" s="355"/>
      <c r="I700" s="355"/>
      <c r="J700" s="355"/>
      <c r="K700" s="570"/>
      <c r="L700" s="355"/>
      <c r="M700" s="355"/>
      <c r="N700" s="355">
        <f>SUM(N572,N573,N574,N580)</f>
        <v>5000000</v>
      </c>
      <c r="P700" s="3"/>
    </row>
    <row r="701" spans="1:16" ht="15" customHeight="1" x14ac:dyDescent="0.25">
      <c r="A701" s="412"/>
      <c r="B701" s="841"/>
      <c r="C701" s="850"/>
      <c r="D701" s="323">
        <v>1</v>
      </c>
      <c r="E701" s="688" t="s">
        <v>4269</v>
      </c>
      <c r="F701" s="456">
        <f>SUM(F564)</f>
        <v>12750000</v>
      </c>
      <c r="G701" s="306">
        <f>SUM(G564)</f>
        <v>13500000</v>
      </c>
      <c r="H701" s="306"/>
      <c r="I701" s="306"/>
      <c r="J701" s="306"/>
      <c r="K701" s="419"/>
      <c r="L701" s="306"/>
      <c r="M701" s="306"/>
      <c r="N701" s="306">
        <f>SUM(N564)</f>
        <v>750000</v>
      </c>
      <c r="P701" s="12"/>
    </row>
    <row r="702" spans="1:16" ht="15" customHeight="1" x14ac:dyDescent="0.25">
      <c r="A702" s="412"/>
      <c r="B702" s="841"/>
      <c r="C702" s="850"/>
      <c r="D702" s="323">
        <v>2</v>
      </c>
      <c r="E702" s="685" t="s">
        <v>4267</v>
      </c>
      <c r="F702" s="456">
        <f>SUM(F568,F563)</f>
        <v>29250000</v>
      </c>
      <c r="G702" s="306">
        <f>SUM(G568,G563)</f>
        <v>31600000</v>
      </c>
      <c r="H702" s="306"/>
      <c r="I702" s="306"/>
      <c r="J702" s="306"/>
      <c r="K702" s="419"/>
      <c r="L702" s="306"/>
      <c r="M702" s="306"/>
      <c r="N702" s="306">
        <f>SUM(N568,N563)</f>
        <v>2350000</v>
      </c>
      <c r="P702" s="12"/>
    </row>
    <row r="703" spans="1:16" ht="15" customHeight="1" x14ac:dyDescent="0.25">
      <c r="A703" s="412"/>
      <c r="B703" s="841"/>
      <c r="C703" s="851"/>
      <c r="D703" s="571">
        <v>6</v>
      </c>
      <c r="E703" s="681" t="s">
        <v>4261</v>
      </c>
      <c r="F703" s="569">
        <f>SUM(F557,F565,F556,F541,F566,F544)</f>
        <v>75525000</v>
      </c>
      <c r="G703" s="355">
        <f>SUM(G557,G565,G556,G541,G566,G544)</f>
        <v>82400000</v>
      </c>
      <c r="H703" s="355"/>
      <c r="I703" s="355"/>
      <c r="J703" s="355"/>
      <c r="K703" s="570"/>
      <c r="L703" s="355"/>
      <c r="M703" s="355"/>
      <c r="N703" s="355">
        <f>SUM(N557,N565,N556,N541,N566,N544)</f>
        <v>6875000</v>
      </c>
      <c r="P703" s="43"/>
    </row>
    <row r="704" spans="1:16" ht="15" customHeight="1" x14ac:dyDescent="0.25">
      <c r="A704" s="412"/>
      <c r="B704" s="841"/>
      <c r="C704" s="858" t="s">
        <v>4260</v>
      </c>
      <c r="D704" s="571">
        <v>6</v>
      </c>
      <c r="E704" s="679" t="s">
        <v>4250</v>
      </c>
      <c r="F704" s="569">
        <f>SUM(F561,F560,F559,F558,F552,F539)</f>
        <v>81650000</v>
      </c>
      <c r="G704" s="355">
        <f>SUM(G561,G560,G559,G558,G552,G539)</f>
        <v>90500000</v>
      </c>
      <c r="H704" s="355"/>
      <c r="I704" s="355"/>
      <c r="J704" s="355"/>
      <c r="K704" s="570"/>
      <c r="L704" s="355"/>
      <c r="M704" s="355"/>
      <c r="N704" s="355">
        <f>SUM(N561,N560,N559,N558,N552,N539)</f>
        <v>8850000</v>
      </c>
      <c r="P704" s="3"/>
    </row>
    <row r="705" spans="1:16" ht="15" customHeight="1" x14ac:dyDescent="0.25">
      <c r="A705" s="412"/>
      <c r="B705" s="841"/>
      <c r="C705" s="859"/>
      <c r="D705" s="571">
        <v>1</v>
      </c>
      <c r="E705" s="677" t="s">
        <v>4249</v>
      </c>
      <c r="F705" s="569">
        <f>SUM(F549)</f>
        <v>9500000</v>
      </c>
      <c r="G705" s="569">
        <f>SUM(G549)</f>
        <v>10750000</v>
      </c>
      <c r="H705" s="675"/>
      <c r="I705" s="675"/>
      <c r="J705" s="675"/>
      <c r="K705" s="676"/>
      <c r="L705" s="675"/>
      <c r="M705" s="675"/>
      <c r="N705" s="355">
        <f>SUM(N549)</f>
        <v>1250000</v>
      </c>
      <c r="P705" s="12"/>
    </row>
    <row r="706" spans="1:16" ht="15" customHeight="1" x14ac:dyDescent="0.25">
      <c r="A706" s="412"/>
      <c r="B706" s="841"/>
      <c r="C706" s="859"/>
      <c r="D706" s="571">
        <v>3</v>
      </c>
      <c r="E706" s="673" t="s">
        <v>4245</v>
      </c>
      <c r="F706" s="569">
        <f>SUM(F555,F554,F553)</f>
        <v>53250000</v>
      </c>
      <c r="G706" s="355">
        <f>SUM(G555,G554,G553)</f>
        <v>57500000</v>
      </c>
      <c r="H706" s="355"/>
      <c r="I706" s="355"/>
      <c r="J706" s="355"/>
      <c r="K706" s="570"/>
      <c r="L706" s="355"/>
      <c r="M706" s="355"/>
      <c r="N706" s="355">
        <f>SUM(N555,N554,N553)</f>
        <v>4250000</v>
      </c>
      <c r="P706" s="12"/>
    </row>
    <row r="707" spans="1:16" ht="15" customHeight="1" x14ac:dyDescent="0.25">
      <c r="A707" s="412"/>
      <c r="B707" s="841"/>
      <c r="C707" s="860"/>
      <c r="D707" s="571">
        <v>5</v>
      </c>
      <c r="E707" s="668" t="s">
        <v>4049</v>
      </c>
      <c r="F707" s="569">
        <f>SUM(F527,F548,F545,F551,F547)</f>
        <v>56625000</v>
      </c>
      <c r="G707" s="355">
        <f>SUM(G527,G548,G545,G551,G547)</f>
        <v>62600000</v>
      </c>
      <c r="H707" s="355"/>
      <c r="I707" s="355"/>
      <c r="J707" s="355"/>
      <c r="K707" s="570"/>
      <c r="L707" s="355"/>
      <c r="M707" s="355"/>
      <c r="N707" s="355">
        <f>SUM(N527,N548,N545,N551,N547)</f>
        <v>5975000</v>
      </c>
      <c r="P707" s="43"/>
    </row>
    <row r="708" spans="1:16" ht="15" customHeight="1" x14ac:dyDescent="0.25">
      <c r="A708" s="412"/>
      <c r="B708" s="841"/>
      <c r="C708" s="852" t="s">
        <v>4046</v>
      </c>
      <c r="D708" s="323">
        <v>3</v>
      </c>
      <c r="E708" s="665" t="s">
        <v>4047</v>
      </c>
      <c r="F708" s="456">
        <f>SUM(F543,F542,F540)</f>
        <v>47900000</v>
      </c>
      <c r="G708" s="306">
        <f>SUM(G543,G542,G540)</f>
        <v>54000000</v>
      </c>
      <c r="H708" s="306"/>
      <c r="I708" s="306"/>
      <c r="J708" s="306"/>
      <c r="K708" s="419"/>
      <c r="L708" s="306"/>
      <c r="M708" s="306"/>
      <c r="N708" s="306">
        <f>SUM(N543,N542,N540)</f>
        <v>6100000</v>
      </c>
      <c r="P708" s="3"/>
    </row>
    <row r="709" spans="1:16" ht="15" customHeight="1" x14ac:dyDescent="0.25">
      <c r="A709" s="412"/>
      <c r="B709" s="841"/>
      <c r="C709" s="853"/>
      <c r="D709" s="571">
        <v>1</v>
      </c>
      <c r="E709" s="660" t="s">
        <v>4038</v>
      </c>
      <c r="F709" s="569">
        <f>SUM(F535)</f>
        <v>12150000</v>
      </c>
      <c r="G709" s="355">
        <f>SUM(G535)</f>
        <v>13000000</v>
      </c>
      <c r="H709" s="355"/>
      <c r="I709" s="355"/>
      <c r="J709" s="355"/>
      <c r="K709" s="570"/>
      <c r="L709" s="355"/>
      <c r="M709" s="355"/>
      <c r="N709" s="355">
        <f>SUM(N535)</f>
        <v>850000</v>
      </c>
      <c r="P709" s="12"/>
    </row>
    <row r="710" spans="1:16" ht="15" customHeight="1" x14ac:dyDescent="0.25">
      <c r="A710" s="412"/>
      <c r="B710" s="841"/>
      <c r="C710" s="853"/>
      <c r="D710" s="571">
        <v>2</v>
      </c>
      <c r="E710" s="658" t="s">
        <v>4037</v>
      </c>
      <c r="F710" s="569">
        <f>SUM(F533,F537)</f>
        <v>24400000</v>
      </c>
      <c r="G710" s="355">
        <f>SUM(G533,G537)</f>
        <v>26000000</v>
      </c>
      <c r="H710" s="355"/>
      <c r="I710" s="355"/>
      <c r="J710" s="355"/>
      <c r="K710" s="570"/>
      <c r="L710" s="355"/>
      <c r="M710" s="355"/>
      <c r="N710" s="355">
        <f>SUM(N533,N537)</f>
        <v>1600000</v>
      </c>
      <c r="P710" s="12"/>
    </row>
    <row r="711" spans="1:16" ht="15" customHeight="1" x14ac:dyDescent="0.25">
      <c r="A711" s="412"/>
      <c r="B711" s="841"/>
      <c r="C711" s="854"/>
      <c r="D711" s="323">
        <v>5</v>
      </c>
      <c r="E711" s="656" t="s">
        <v>4035</v>
      </c>
      <c r="F711" s="456">
        <f>SUM(F529,F530,F534,F536,F538)</f>
        <v>68800000</v>
      </c>
      <c r="G711" s="306">
        <f>SUM(G529,G530,G534,G536,G538)</f>
        <v>75500000</v>
      </c>
      <c r="H711" s="306"/>
      <c r="I711" s="306"/>
      <c r="J711" s="306"/>
      <c r="K711" s="419"/>
      <c r="L711" s="306"/>
      <c r="M711" s="306"/>
      <c r="N711" s="306">
        <f>SUM(N529,N530,N534,N536,N538)</f>
        <v>6700000</v>
      </c>
      <c r="P711" s="12"/>
    </row>
    <row r="712" spans="1:16" ht="15" customHeight="1" x14ac:dyDescent="0.25">
      <c r="A712" s="412"/>
      <c r="B712" s="841"/>
      <c r="C712" s="861" t="s">
        <v>4028</v>
      </c>
      <c r="D712" s="571">
        <v>3</v>
      </c>
      <c r="E712" s="654" t="s">
        <v>4027</v>
      </c>
      <c r="F712" s="569">
        <f>SUM(F518,F525,F531)</f>
        <v>30500000</v>
      </c>
      <c r="G712" s="355">
        <f>SUM(G518,G525,G531)</f>
        <v>34250000</v>
      </c>
      <c r="H712" s="355"/>
      <c r="I712" s="355"/>
      <c r="J712" s="355"/>
      <c r="K712" s="570"/>
      <c r="L712" s="355"/>
      <c r="M712" s="355"/>
      <c r="N712" s="355">
        <f>SUM(N518,N525,N531)</f>
        <v>3750000</v>
      </c>
      <c r="P712" s="43"/>
    </row>
    <row r="713" spans="1:16" ht="15" customHeight="1" x14ac:dyDescent="0.25">
      <c r="A713" s="412"/>
      <c r="B713" s="841"/>
      <c r="C713" s="862"/>
      <c r="D713" s="571">
        <v>7</v>
      </c>
      <c r="E713" s="652" t="s">
        <v>3920</v>
      </c>
      <c r="F713" s="569">
        <f>SUM(F513,F521,F524,F503,F526,F528,F532)</f>
        <v>86850000</v>
      </c>
      <c r="G713" s="355">
        <f>SUM(G513,G521,G524,G503,G526,G528,G532)</f>
        <v>97350000</v>
      </c>
      <c r="H713" s="355"/>
      <c r="I713" s="355"/>
      <c r="J713" s="355"/>
      <c r="K713" s="570"/>
      <c r="L713" s="355"/>
      <c r="M713" s="355"/>
      <c r="N713" s="355">
        <f>SUM(N513,N521,N524,N503,N526,N528,N532)</f>
        <v>10500000</v>
      </c>
    </row>
    <row r="714" spans="1:16" ht="15" customHeight="1" x14ac:dyDescent="0.25">
      <c r="A714" s="412"/>
      <c r="B714" s="841"/>
      <c r="C714" s="862"/>
      <c r="D714" s="571">
        <v>4</v>
      </c>
      <c r="E714" s="649" t="s">
        <v>3919</v>
      </c>
      <c r="F714" s="569">
        <f>SUM(F523,F507,F516,F510)</f>
        <v>47000000</v>
      </c>
      <c r="G714" s="355">
        <f>SUM(G523,G507,G516,G510)</f>
        <v>50550000</v>
      </c>
      <c r="H714" s="355"/>
      <c r="I714" s="355"/>
      <c r="J714" s="355"/>
      <c r="K714" s="570"/>
      <c r="L714" s="355"/>
      <c r="M714" s="355"/>
      <c r="N714" s="355">
        <f>SUM(N523,N516,N507,N510)</f>
        <v>3550000</v>
      </c>
    </row>
    <row r="715" spans="1:16" ht="15" customHeight="1" x14ac:dyDescent="0.25">
      <c r="A715" s="412"/>
      <c r="B715" s="841"/>
      <c r="C715" s="863"/>
      <c r="D715" s="323">
        <v>5</v>
      </c>
      <c r="E715" s="648" t="s">
        <v>3908</v>
      </c>
      <c r="F715" s="456">
        <f>SUM(F522,F520,F519,F517,F504)</f>
        <v>46100000</v>
      </c>
      <c r="G715" s="306">
        <f>SUM(G522,G520,G519,G517,G504)</f>
        <v>50900000</v>
      </c>
      <c r="H715" s="306"/>
      <c r="I715" s="306"/>
      <c r="J715" s="306"/>
      <c r="K715" s="419"/>
      <c r="L715" s="306"/>
      <c r="M715" s="306"/>
      <c r="N715" s="306">
        <f>SUM(N522,N520,N519,N517,N504)</f>
        <v>4800000</v>
      </c>
    </row>
    <row r="716" spans="1:16" ht="15" customHeight="1" x14ac:dyDescent="0.25">
      <c r="A716" s="412"/>
      <c r="B716" s="841"/>
      <c r="C716" s="826" t="s">
        <v>3836</v>
      </c>
      <c r="D716" s="571">
        <v>2</v>
      </c>
      <c r="E716" s="646" t="s">
        <v>3907</v>
      </c>
      <c r="F716" s="569">
        <f>SUM(F511,F505)</f>
        <v>27850000</v>
      </c>
      <c r="G716" s="355">
        <f>SUM(G511,G505)</f>
        <v>29750000</v>
      </c>
      <c r="H716" s="355"/>
      <c r="I716" s="355"/>
      <c r="J716" s="355"/>
      <c r="K716" s="570"/>
      <c r="L716" s="355"/>
      <c r="M716" s="355"/>
      <c r="N716" s="355">
        <f>SUM(N511,N505)</f>
        <v>1900000</v>
      </c>
    </row>
    <row r="717" spans="1:16" ht="15" customHeight="1" x14ac:dyDescent="0.25">
      <c r="A717" s="412"/>
      <c r="B717" s="841"/>
      <c r="C717" s="827"/>
      <c r="D717" s="723">
        <v>0</v>
      </c>
      <c r="E717" s="645" t="s">
        <v>3906</v>
      </c>
      <c r="F717" s="569">
        <v>0</v>
      </c>
      <c r="G717" s="355">
        <v>0</v>
      </c>
      <c r="H717" s="355"/>
      <c r="I717" s="355"/>
      <c r="J717" s="355"/>
      <c r="K717" s="570"/>
      <c r="L717" s="355"/>
      <c r="M717" s="355"/>
      <c r="N717" s="355">
        <v>0</v>
      </c>
    </row>
    <row r="718" spans="1:16" ht="15" customHeight="1" x14ac:dyDescent="0.25">
      <c r="A718" s="412"/>
      <c r="B718" s="841"/>
      <c r="C718" s="827"/>
      <c r="D718" s="323">
        <v>3</v>
      </c>
      <c r="E718" s="643" t="s">
        <v>3837</v>
      </c>
      <c r="F718" s="456">
        <f>SUM(F512,F501,F500)</f>
        <v>43850000</v>
      </c>
      <c r="G718" s="306">
        <f>SUM(G512,G501,G500)</f>
        <v>48200000</v>
      </c>
      <c r="H718" s="306"/>
      <c r="I718" s="306"/>
      <c r="J718" s="306"/>
      <c r="K718" s="419"/>
      <c r="L718" s="306"/>
      <c r="M718" s="306"/>
      <c r="N718" s="306">
        <f>SUM(N512,N501,N500)</f>
        <v>4350000</v>
      </c>
    </row>
    <row r="719" spans="1:16" ht="15" customHeight="1" x14ac:dyDescent="0.25">
      <c r="A719" s="412"/>
      <c r="B719" s="841"/>
      <c r="C719" s="828"/>
      <c r="D719" s="323">
        <v>6</v>
      </c>
      <c r="E719" s="641" t="s">
        <v>3835</v>
      </c>
      <c r="F719" s="456">
        <f>SUM(F509,F497,F515,F499,F514,F506)</f>
        <v>89400000</v>
      </c>
      <c r="G719" s="306">
        <f>SUM(G509,G497,G515,G499,G514,G506)</f>
        <v>100050000</v>
      </c>
      <c r="H719" s="306"/>
      <c r="I719" s="306"/>
      <c r="J719" s="306"/>
      <c r="K719" s="419"/>
      <c r="L719" s="306"/>
      <c r="M719" s="306"/>
      <c r="N719" s="306">
        <f>SUM(N509,N497,N515,N499,N514,N506)</f>
        <v>10650000</v>
      </c>
    </row>
    <row r="720" spans="1:16" ht="15" customHeight="1" x14ac:dyDescent="0.25">
      <c r="A720" s="412"/>
      <c r="B720" s="841"/>
      <c r="C720" s="864" t="s">
        <v>3650</v>
      </c>
      <c r="D720" s="323">
        <v>2</v>
      </c>
      <c r="E720" s="639" t="s">
        <v>3815</v>
      </c>
      <c r="F720" s="456">
        <f>SUM(F498,F508)</f>
        <v>32200000</v>
      </c>
      <c r="G720" s="306">
        <f>SUM(G498,G508)</f>
        <v>35750000</v>
      </c>
      <c r="H720" s="306"/>
      <c r="I720" s="306"/>
      <c r="J720" s="306"/>
      <c r="K720" s="419"/>
      <c r="L720" s="306"/>
      <c r="M720" s="306"/>
      <c r="N720" s="306">
        <f>SUM(N498,N508)</f>
        <v>3550000</v>
      </c>
    </row>
    <row r="721" spans="1:14" ht="15" customHeight="1" x14ac:dyDescent="0.25">
      <c r="A721" s="412"/>
      <c r="B721" s="841"/>
      <c r="C721" s="865"/>
      <c r="D721" s="571">
        <v>2</v>
      </c>
      <c r="E721" s="563" t="s">
        <v>3739</v>
      </c>
      <c r="F721" s="569">
        <f>SUM(F487,F495)</f>
        <v>30100000</v>
      </c>
      <c r="G721" s="355">
        <f>SUM(G487,G495)</f>
        <v>32800000</v>
      </c>
      <c r="H721" s="355"/>
      <c r="I721" s="355"/>
      <c r="J721" s="355"/>
      <c r="K721" s="570"/>
      <c r="L721" s="355"/>
      <c r="M721" s="355"/>
      <c r="N721" s="638">
        <f>SUM(N487,N495)</f>
        <v>2700000</v>
      </c>
    </row>
    <row r="722" spans="1:14" ht="15" customHeight="1" x14ac:dyDescent="0.25">
      <c r="A722" s="412"/>
      <c r="B722" s="841"/>
      <c r="C722" s="865"/>
      <c r="D722" s="323">
        <v>2</v>
      </c>
      <c r="E722" s="629" t="s">
        <v>3736</v>
      </c>
      <c r="F722" s="456">
        <f>SUM(F485,F481)</f>
        <v>25250000</v>
      </c>
      <c r="G722" s="306">
        <f>SUM(G485,G481)</f>
        <v>28850000</v>
      </c>
      <c r="H722" s="306"/>
      <c r="I722" s="306"/>
      <c r="J722" s="306"/>
      <c r="K722" s="419"/>
      <c r="L722" s="306"/>
      <c r="M722" s="306"/>
      <c r="N722" s="306">
        <f>SUM(N485,N481)</f>
        <v>3600000</v>
      </c>
    </row>
    <row r="723" spans="1:14" ht="15" customHeight="1" x14ac:dyDescent="0.25">
      <c r="A723" s="412"/>
      <c r="B723" s="842"/>
      <c r="C723" s="866"/>
      <c r="D723" s="571">
        <v>3</v>
      </c>
      <c r="E723" s="627" t="s">
        <v>3733</v>
      </c>
      <c r="F723" s="569">
        <f>SUM(F488,F492,F496)</f>
        <v>41350000</v>
      </c>
      <c r="G723" s="355">
        <f>SUM(G488,G492,G496)</f>
        <v>47050000</v>
      </c>
      <c r="H723" s="355"/>
      <c r="I723" s="355"/>
      <c r="J723" s="355"/>
      <c r="K723" s="570"/>
      <c r="L723" s="355"/>
      <c r="M723" s="355"/>
      <c r="N723" s="355">
        <f>SUM(N496,N492,N488)</f>
        <v>5700000</v>
      </c>
    </row>
    <row r="724" spans="1:14" x14ac:dyDescent="0.25">
      <c r="A724" s="412"/>
      <c r="B724" s="808">
        <v>2021</v>
      </c>
      <c r="C724" s="820" t="s">
        <v>3646</v>
      </c>
      <c r="D724" s="571">
        <v>8</v>
      </c>
      <c r="E724" s="625" t="s">
        <v>3649</v>
      </c>
      <c r="F724" s="569">
        <f>SUM(F493,F491,F486,F483,F484,F494,F471,F490)</f>
        <v>111775000</v>
      </c>
      <c r="G724" s="623">
        <f>SUM(G491,G493,G486,G483,G494,G484,G471,G490)</f>
        <v>125150000</v>
      </c>
      <c r="H724" s="623"/>
      <c r="I724" s="623"/>
      <c r="J724" s="623"/>
      <c r="K724" s="624"/>
      <c r="L724" s="623"/>
      <c r="M724" s="623"/>
      <c r="N724" s="623">
        <f>SUM(N491,N493,N486,N483,N484,N494,N471,N490)</f>
        <v>13375000</v>
      </c>
    </row>
    <row r="725" spans="1:14" x14ac:dyDescent="0.25">
      <c r="A725" s="412"/>
      <c r="B725" s="808"/>
      <c r="C725" s="821"/>
      <c r="D725" s="571">
        <v>3</v>
      </c>
      <c r="E725" s="621" t="s">
        <v>3647</v>
      </c>
      <c r="F725" s="569">
        <f>SUM(F473,F482,F489)</f>
        <v>41975000</v>
      </c>
      <c r="G725" s="355">
        <f>SUM(G473,G482,G489)</f>
        <v>44500000</v>
      </c>
      <c r="H725" s="355"/>
      <c r="I725" s="355"/>
      <c r="J725" s="355"/>
      <c r="K725" s="570"/>
      <c r="L725" s="355"/>
      <c r="M725" s="355"/>
      <c r="N725" s="355">
        <f>SUM(N473,N482,N489)</f>
        <v>2525000</v>
      </c>
    </row>
    <row r="726" spans="1:14" x14ac:dyDescent="0.25">
      <c r="A726" s="412"/>
      <c r="B726" s="808"/>
      <c r="C726" s="821"/>
      <c r="D726" s="723">
        <v>0</v>
      </c>
      <c r="E726" s="620" t="s">
        <v>3645</v>
      </c>
      <c r="F726" s="569">
        <v>0</v>
      </c>
      <c r="G726" s="355">
        <v>0</v>
      </c>
      <c r="H726" s="355"/>
      <c r="I726" s="355"/>
      <c r="J726" s="355"/>
      <c r="K726" s="570"/>
      <c r="L726" s="355"/>
      <c r="M726" s="355"/>
      <c r="N726" s="355">
        <v>0</v>
      </c>
    </row>
    <row r="727" spans="1:14" x14ac:dyDescent="0.25">
      <c r="A727" s="412"/>
      <c r="B727" s="808"/>
      <c r="C727" s="822"/>
      <c r="D727" s="571">
        <v>1</v>
      </c>
      <c r="E727" s="616" t="s">
        <v>3612</v>
      </c>
      <c r="F727" s="569">
        <f>F463</f>
        <v>15500000</v>
      </c>
      <c r="G727" s="355">
        <f>G463</f>
        <v>16500000</v>
      </c>
      <c r="H727" s="355"/>
      <c r="I727" s="355"/>
      <c r="J727" s="355"/>
      <c r="K727" s="570"/>
      <c r="L727" s="355"/>
      <c r="M727" s="355"/>
      <c r="N727" s="355">
        <f>N463</f>
        <v>1000000</v>
      </c>
    </row>
    <row r="728" spans="1:14" ht="15" customHeight="1" x14ac:dyDescent="0.25">
      <c r="A728" s="412"/>
      <c r="B728" s="808"/>
      <c r="C728" s="817" t="s">
        <v>3536</v>
      </c>
      <c r="D728" s="571">
        <v>1</v>
      </c>
      <c r="E728" s="563" t="s">
        <v>3611</v>
      </c>
      <c r="F728" s="569">
        <f>SUM(F470)</f>
        <v>14625000</v>
      </c>
      <c r="G728" s="355">
        <f>SUM(G470)</f>
        <v>15850000</v>
      </c>
      <c r="H728" s="355"/>
      <c r="I728" s="355"/>
      <c r="J728" s="355"/>
      <c r="K728" s="570"/>
      <c r="L728" s="355"/>
      <c r="M728" s="355"/>
      <c r="N728" s="355">
        <f>SUM(N470)</f>
        <v>1225000</v>
      </c>
    </row>
    <row r="729" spans="1:14" ht="15" customHeight="1" x14ac:dyDescent="0.25">
      <c r="A729" s="412"/>
      <c r="B729" s="808"/>
      <c r="C729" s="818"/>
      <c r="D729" s="571">
        <v>7</v>
      </c>
      <c r="E729" s="618" t="s">
        <v>3545</v>
      </c>
      <c r="F729" s="569">
        <f>SUM(F477,F478,F480,F476,F479,F469,F475)</f>
        <v>110125000</v>
      </c>
      <c r="G729" s="355">
        <f>SUM(G477,G478,G480,G476,G479,G469,G475)</f>
        <v>120100000</v>
      </c>
      <c r="H729" s="355"/>
      <c r="I729" s="355"/>
      <c r="J729" s="355"/>
      <c r="K729" s="570"/>
      <c r="L729" s="355"/>
      <c r="M729" s="355"/>
      <c r="N729" s="355">
        <f>SUM(N477,N478,N480,N476,N479,N469,N475)</f>
        <v>9975000</v>
      </c>
    </row>
    <row r="730" spans="1:14" ht="15" customHeight="1" x14ac:dyDescent="0.25">
      <c r="A730" s="412"/>
      <c r="B730" s="808"/>
      <c r="C730" s="818"/>
      <c r="D730" s="571">
        <v>2</v>
      </c>
      <c r="E730" s="616" t="s">
        <v>3544</v>
      </c>
      <c r="F730" s="569">
        <f>SUM(F467,F474)</f>
        <v>30125000</v>
      </c>
      <c r="G730" s="355">
        <f>SUM(G467,G474)</f>
        <v>33150000</v>
      </c>
      <c r="H730" s="355"/>
      <c r="I730" s="355"/>
      <c r="J730" s="355"/>
      <c r="K730" s="570"/>
      <c r="L730" s="355"/>
      <c r="M730" s="355"/>
      <c r="N730" s="355">
        <f>SUM(N467,N474)</f>
        <v>3025000</v>
      </c>
    </row>
    <row r="731" spans="1:14" ht="15" customHeight="1" x14ac:dyDescent="0.25">
      <c r="A731" s="412"/>
      <c r="B731" s="808"/>
      <c r="C731" s="819"/>
      <c r="D731" s="571">
        <v>3</v>
      </c>
      <c r="E731" s="613" t="s">
        <v>3534</v>
      </c>
      <c r="F731" s="569">
        <f>SUM(F466,F449,F440)</f>
        <v>37100000</v>
      </c>
      <c r="G731" s="355">
        <f>SUM(G466,G449,G440)</f>
        <v>40275000</v>
      </c>
      <c r="H731" s="355"/>
      <c r="I731" s="355"/>
      <c r="J731" s="355"/>
      <c r="K731" s="570"/>
      <c r="L731" s="355"/>
      <c r="M731" s="355"/>
      <c r="N731" s="355">
        <f>SUM(N466,N449,N440)</f>
        <v>3175000</v>
      </c>
    </row>
    <row r="732" spans="1:14" ht="15" customHeight="1" x14ac:dyDescent="0.25">
      <c r="A732" s="412"/>
      <c r="B732" s="808"/>
      <c r="C732" s="812" t="s">
        <v>3354</v>
      </c>
      <c r="D732" s="571">
        <v>2</v>
      </c>
      <c r="E732" s="611" t="s">
        <v>3494</v>
      </c>
      <c r="F732" s="569">
        <f>SUM(F460,F468)</f>
        <v>31000000</v>
      </c>
      <c r="G732" s="355">
        <f>SUM(G460,G468)</f>
        <v>36250000</v>
      </c>
      <c r="H732" s="355"/>
      <c r="I732" s="355"/>
      <c r="J732" s="355"/>
      <c r="K732" s="570"/>
      <c r="L732" s="355"/>
      <c r="M732" s="355"/>
      <c r="N732" s="355">
        <f>SUM(N460,N468)</f>
        <v>5250000</v>
      </c>
    </row>
    <row r="733" spans="1:14" ht="15" customHeight="1" x14ac:dyDescent="0.25">
      <c r="A733" s="412"/>
      <c r="B733" s="808"/>
      <c r="C733" s="813"/>
      <c r="D733" s="323">
        <v>1</v>
      </c>
      <c r="E733" s="609" t="s">
        <v>3442</v>
      </c>
      <c r="F733" s="456">
        <f>SUM(F462)</f>
        <v>15500000</v>
      </c>
      <c r="G733" s="306">
        <f>SUM(G462)</f>
        <v>17000000</v>
      </c>
      <c r="H733" s="306"/>
      <c r="I733" s="306"/>
      <c r="J733" s="306"/>
      <c r="K733" s="419"/>
      <c r="L733" s="306"/>
      <c r="M733" s="306"/>
      <c r="N733" s="306">
        <f>SUM(N462)</f>
        <v>1500000</v>
      </c>
    </row>
    <row r="734" spans="1:14" ht="15" customHeight="1" x14ac:dyDescent="0.25">
      <c r="A734" s="412"/>
      <c r="B734" s="808"/>
      <c r="C734" s="813"/>
      <c r="D734" s="605">
        <v>6</v>
      </c>
      <c r="E734" s="606" t="s">
        <v>3430</v>
      </c>
      <c r="F734" s="494">
        <f>SUM(F444,F458,F337,F464,F461,F457)</f>
        <v>82250000</v>
      </c>
      <c r="G734" s="607">
        <f>SUM(G444,G458,G337,G464,G461,G457)</f>
        <v>86925000</v>
      </c>
      <c r="H734" s="607"/>
      <c r="I734" s="607"/>
      <c r="J734" s="607"/>
      <c r="K734" s="608"/>
      <c r="L734" s="607"/>
      <c r="M734" s="607"/>
      <c r="N734" s="607">
        <f>SUM(N444,N458,N337,N464,N461,N457)</f>
        <v>4675000</v>
      </c>
    </row>
    <row r="735" spans="1:14" ht="15" customHeight="1" x14ac:dyDescent="0.25">
      <c r="A735" s="412"/>
      <c r="B735" s="808"/>
      <c r="C735" s="814"/>
      <c r="D735" s="571">
        <v>3</v>
      </c>
      <c r="E735" s="601" t="s">
        <v>3366</v>
      </c>
      <c r="F735" s="569">
        <f>SUM(F456,F455,F452)</f>
        <v>44300000</v>
      </c>
      <c r="G735" s="355">
        <f>SUM(G456,G455,G452)</f>
        <v>46650000</v>
      </c>
      <c r="H735" s="355"/>
      <c r="I735" s="355"/>
      <c r="J735" s="355"/>
      <c r="K735" s="570"/>
      <c r="L735" s="355"/>
      <c r="M735" s="355"/>
      <c r="N735" s="355">
        <f>SUM(N456,N455,N452)</f>
        <v>2350000</v>
      </c>
    </row>
    <row r="736" spans="1:14" ht="15" customHeight="1" x14ac:dyDescent="0.25">
      <c r="A736" s="412"/>
      <c r="B736" s="808"/>
      <c r="C736" s="832" t="s">
        <v>3244</v>
      </c>
      <c r="D736" s="571">
        <v>5</v>
      </c>
      <c r="E736" s="520" t="s">
        <v>3355</v>
      </c>
      <c r="F736" s="569">
        <f>SUM(F454,F453,F459,F451,F450)</f>
        <v>78000000</v>
      </c>
      <c r="G736" s="355">
        <f>SUM(G454,G453,G459,G451,G450)</f>
        <v>82000000</v>
      </c>
      <c r="H736" s="355"/>
      <c r="I736" s="355"/>
      <c r="J736" s="355"/>
      <c r="K736" s="570"/>
      <c r="L736" s="355"/>
      <c r="M736" s="355"/>
      <c r="N736" s="355">
        <f>SUM(N453,N454,N459,N451,N450)</f>
        <v>4000000</v>
      </c>
    </row>
    <row r="737" spans="1:14" ht="15" customHeight="1" x14ac:dyDescent="0.25">
      <c r="A737" s="412"/>
      <c r="B737" s="808"/>
      <c r="C737" s="832"/>
      <c r="D737" s="323">
        <v>2</v>
      </c>
      <c r="E737" s="599" t="s">
        <v>3353</v>
      </c>
      <c r="F737" s="456">
        <f>SUM(F422,F421)</f>
        <v>29400000</v>
      </c>
      <c r="G737" s="306">
        <f>SUM(G422,G421)</f>
        <v>30100000</v>
      </c>
      <c r="H737" s="306"/>
      <c r="I737" s="306"/>
      <c r="J737" s="306"/>
      <c r="K737" s="419"/>
      <c r="L737" s="306"/>
      <c r="M737" s="306"/>
      <c r="N737" s="306">
        <f>SUM(N422,N421)</f>
        <v>700000</v>
      </c>
    </row>
    <row r="738" spans="1:14" ht="15" customHeight="1" x14ac:dyDescent="0.25">
      <c r="A738" s="412"/>
      <c r="B738" s="808"/>
      <c r="C738" s="832"/>
      <c r="D738" s="323">
        <v>4</v>
      </c>
      <c r="E738" s="597" t="s">
        <v>3347</v>
      </c>
      <c r="F738" s="456">
        <f>SUM(F446,F445,F448,F447)</f>
        <v>46200000</v>
      </c>
      <c r="G738" s="306">
        <f>SUM(G446,G445,G448,G447)</f>
        <v>50800000</v>
      </c>
      <c r="H738" s="306"/>
      <c r="I738" s="306"/>
      <c r="J738" s="306"/>
      <c r="K738" s="419"/>
      <c r="L738" s="306"/>
      <c r="M738" s="306"/>
      <c r="N738" s="306">
        <f>SUM(N446,N445,N448,N447)</f>
        <v>4600000</v>
      </c>
    </row>
    <row r="739" spans="1:14" ht="15" customHeight="1" x14ac:dyDescent="0.25">
      <c r="A739" s="412"/>
      <c r="B739" s="808"/>
      <c r="C739" s="832"/>
      <c r="D739" s="323">
        <v>3</v>
      </c>
      <c r="E739" s="595" t="s">
        <v>3305</v>
      </c>
      <c r="F739" s="456">
        <f>SUM(F443,F437,F424)</f>
        <v>40950000</v>
      </c>
      <c r="G739" s="306">
        <f>SUM(G443,G437,G424)</f>
        <v>42900000</v>
      </c>
      <c r="H739" s="306"/>
      <c r="I739" s="306"/>
      <c r="J739" s="306"/>
      <c r="K739" s="419"/>
      <c r="L739" s="306"/>
      <c r="M739" s="306"/>
      <c r="N739" s="306">
        <f>SUM(N443,N437,N424)</f>
        <v>1950000</v>
      </c>
    </row>
    <row r="740" spans="1:14" ht="15" customHeight="1" x14ac:dyDescent="0.25">
      <c r="A740" s="412"/>
      <c r="B740" s="808"/>
      <c r="C740" s="834" t="s">
        <v>3224</v>
      </c>
      <c r="D740" s="323">
        <v>5</v>
      </c>
      <c r="E740" s="592" t="s">
        <v>3295</v>
      </c>
      <c r="F740" s="456">
        <f>SUM(F441,F442,F436,F439,F438)</f>
        <v>66750000</v>
      </c>
      <c r="G740" s="306">
        <f>SUM(G441,G442,G436,G439,G438)</f>
        <v>74750000</v>
      </c>
      <c r="H740" s="306"/>
      <c r="I740" s="306"/>
      <c r="J740" s="306"/>
      <c r="K740" s="419"/>
      <c r="L740" s="306"/>
      <c r="M740" s="306"/>
      <c r="N740" s="306">
        <f>SUM(N441,N442,N436,N439,N438)</f>
        <v>8000000</v>
      </c>
    </row>
    <row r="741" spans="1:14" ht="15" customHeight="1" x14ac:dyDescent="0.25">
      <c r="A741" s="412" t="s">
        <v>3106</v>
      </c>
      <c r="B741" s="808"/>
      <c r="C741" s="834"/>
      <c r="D741" s="323">
        <v>4</v>
      </c>
      <c r="E741" s="590" t="s">
        <v>3293</v>
      </c>
      <c r="F741" s="456">
        <f>SUM(F430,F431,F432,F423)</f>
        <v>48600000</v>
      </c>
      <c r="G741" s="306">
        <f>SUM(G430,G431,G432,G423)</f>
        <v>52675000</v>
      </c>
      <c r="H741" s="306"/>
      <c r="I741" s="306"/>
      <c r="J741" s="306"/>
      <c r="K741" s="419"/>
      <c r="L741" s="306"/>
      <c r="M741" s="306"/>
      <c r="N741" s="306">
        <f>SUM(N430,N431,N432,N423)</f>
        <v>4075000</v>
      </c>
    </row>
    <row r="742" spans="1:14" ht="15" customHeight="1" x14ac:dyDescent="0.25">
      <c r="A742" s="412"/>
      <c r="B742" s="808"/>
      <c r="C742" s="834"/>
      <c r="D742" s="323">
        <v>2</v>
      </c>
      <c r="E742" s="588" t="s">
        <v>3243</v>
      </c>
      <c r="F742" s="456">
        <f>SUM(F324,F435)</f>
        <v>19500000</v>
      </c>
      <c r="G742" s="306">
        <f>SUM(G324,G435)</f>
        <v>20625000</v>
      </c>
      <c r="H742" s="306"/>
      <c r="I742" s="306"/>
      <c r="J742" s="306"/>
      <c r="K742" s="419"/>
      <c r="L742" s="306"/>
      <c r="M742" s="306"/>
      <c r="N742" s="306">
        <f>SUM(N324,N435)</f>
        <v>1125000</v>
      </c>
    </row>
    <row r="743" spans="1:14" ht="15" customHeight="1" x14ac:dyDescent="0.25">
      <c r="A743" s="412"/>
      <c r="B743" s="808"/>
      <c r="C743" s="834"/>
      <c r="D743" s="323">
        <v>1</v>
      </c>
      <c r="E743" s="585" t="s">
        <v>3240</v>
      </c>
      <c r="F743" s="456">
        <f>SUM(F434)</f>
        <v>9000000</v>
      </c>
      <c r="G743" s="306">
        <f>SUM(G434)</f>
        <v>10000000</v>
      </c>
      <c r="H743" s="306"/>
      <c r="I743" s="306"/>
      <c r="J743" s="306"/>
      <c r="K743" s="419"/>
      <c r="L743" s="306"/>
      <c r="M743" s="306"/>
      <c r="N743" s="306">
        <f>SUM(N434)</f>
        <v>1000000</v>
      </c>
    </row>
    <row r="744" spans="1:14" ht="15" customHeight="1" x14ac:dyDescent="0.25">
      <c r="A744" s="412"/>
      <c r="B744" s="808"/>
      <c r="C744" s="833" t="s">
        <v>3094</v>
      </c>
      <c r="D744" s="323">
        <v>4</v>
      </c>
      <c r="E744" s="583" t="s">
        <v>3231</v>
      </c>
      <c r="F744" s="456">
        <f>SUM(F427,F429,F428,F433)</f>
        <v>54600000</v>
      </c>
      <c r="G744" s="306">
        <f>SUM(G427,G429,G428,G433)</f>
        <v>60600000</v>
      </c>
      <c r="H744" s="306"/>
      <c r="I744" s="306"/>
      <c r="J744" s="306"/>
      <c r="K744" s="419"/>
      <c r="L744" s="306"/>
      <c r="M744" s="306"/>
      <c r="N744" s="306">
        <f>SUM(N427,N429,N428,N433)</f>
        <v>6000000</v>
      </c>
    </row>
    <row r="745" spans="1:14" ht="15" customHeight="1" x14ac:dyDescent="0.25">
      <c r="A745" s="412"/>
      <c r="B745" s="808"/>
      <c r="C745" s="833"/>
      <c r="D745" s="323">
        <v>2</v>
      </c>
      <c r="E745" s="581" t="s">
        <v>3225</v>
      </c>
      <c r="F745" s="456">
        <f>SUM(F426,F416)</f>
        <v>30350000</v>
      </c>
      <c r="G745" s="306">
        <f>SUM(G426,G416)</f>
        <v>32300000</v>
      </c>
      <c r="H745" s="306"/>
      <c r="I745" s="306"/>
      <c r="J745" s="306"/>
      <c r="K745" s="419"/>
      <c r="L745" s="306"/>
      <c r="M745" s="306"/>
      <c r="N745" s="306">
        <f>SUM(N426,N416)</f>
        <v>1950000</v>
      </c>
    </row>
    <row r="746" spans="1:14" ht="15" customHeight="1" x14ac:dyDescent="0.25">
      <c r="A746" s="412"/>
      <c r="B746" s="808"/>
      <c r="C746" s="833"/>
      <c r="D746" s="723">
        <v>0</v>
      </c>
      <c r="E746" s="548" t="s">
        <v>3223</v>
      </c>
      <c r="F746" s="460">
        <v>0</v>
      </c>
      <c r="G746" s="107">
        <v>0</v>
      </c>
      <c r="H746" s="107"/>
      <c r="I746" s="107"/>
      <c r="J746" s="107"/>
      <c r="K746" s="128"/>
      <c r="L746" s="107"/>
      <c r="M746" s="107"/>
      <c r="N746" s="107">
        <v>0</v>
      </c>
    </row>
    <row r="747" spans="1:14" ht="15" customHeight="1" x14ac:dyDescent="0.25">
      <c r="A747" s="412"/>
      <c r="B747" s="808"/>
      <c r="C747" s="833"/>
      <c r="D747" s="323">
        <v>1</v>
      </c>
      <c r="E747" s="577" t="s">
        <v>3177</v>
      </c>
      <c r="F747" s="456">
        <f>SUM(F425)</f>
        <v>14850000</v>
      </c>
      <c r="G747" s="306">
        <f>SUM(G425)</f>
        <v>17100000</v>
      </c>
      <c r="H747" s="306"/>
      <c r="I747" s="306"/>
      <c r="J747" s="306"/>
      <c r="K747" s="419"/>
      <c r="L747" s="306"/>
      <c r="M747" s="306"/>
      <c r="N747" s="306">
        <f>SUM(N425)</f>
        <v>2250000</v>
      </c>
    </row>
    <row r="748" spans="1:14" ht="15" customHeight="1" x14ac:dyDescent="0.25">
      <c r="A748" s="412"/>
      <c r="B748" s="808"/>
      <c r="C748" s="830" t="s">
        <v>3033</v>
      </c>
      <c r="D748" s="323">
        <v>2</v>
      </c>
      <c r="E748" s="575" t="s">
        <v>3169</v>
      </c>
      <c r="F748" s="456">
        <f>SUM(F413,F365)</f>
        <v>27550000</v>
      </c>
      <c r="G748" s="306">
        <f>SUM(G413,G365)</f>
        <v>29650000</v>
      </c>
      <c r="H748" s="306"/>
      <c r="I748" s="306"/>
      <c r="J748" s="306"/>
      <c r="K748" s="419"/>
      <c r="L748" s="306"/>
      <c r="M748" s="306"/>
      <c r="N748" s="306">
        <f>SUM(N413,N365)</f>
        <v>2100000</v>
      </c>
    </row>
    <row r="749" spans="1:14" ht="15" customHeight="1" x14ac:dyDescent="0.25">
      <c r="A749" s="412"/>
      <c r="B749" s="808"/>
      <c r="C749" s="830"/>
      <c r="D749" s="571">
        <f>3</f>
        <v>3</v>
      </c>
      <c r="E749" s="572" t="s">
        <v>3105</v>
      </c>
      <c r="F749" s="569">
        <f>SUM(F420,F418,F401)</f>
        <v>42350000</v>
      </c>
      <c r="G749" s="355">
        <f>SUM(G420,G418,G401)</f>
        <v>45050000</v>
      </c>
      <c r="H749" s="355"/>
      <c r="I749" s="355"/>
      <c r="J749" s="355"/>
      <c r="K749" s="570"/>
      <c r="L749" s="355"/>
      <c r="M749" s="355"/>
      <c r="N749" s="355">
        <f>SUM(N420,N418,N401)</f>
        <v>2700000</v>
      </c>
    </row>
    <row r="750" spans="1:14" ht="15" customHeight="1" x14ac:dyDescent="0.25">
      <c r="A750" s="412"/>
      <c r="B750" s="808"/>
      <c r="C750" s="830"/>
      <c r="D750" s="571">
        <v>4</v>
      </c>
      <c r="E750" s="572" t="s">
        <v>3100</v>
      </c>
      <c r="F750" s="569">
        <f>SUM(F414,F415,F417,F419)</f>
        <v>61500000</v>
      </c>
      <c r="G750" s="355">
        <f>SUM(G414,G415,G417,G419)</f>
        <v>66000000</v>
      </c>
      <c r="H750" s="355"/>
      <c r="I750" s="355"/>
      <c r="J750" s="355"/>
      <c r="K750" s="570"/>
      <c r="L750" s="355"/>
      <c r="M750" s="355"/>
      <c r="N750" s="355">
        <f>SUM(N414,N415,N417,N419)</f>
        <v>4500000</v>
      </c>
    </row>
    <row r="751" spans="1:14" ht="15" customHeight="1" x14ac:dyDescent="0.25">
      <c r="A751" s="412"/>
      <c r="B751" s="808"/>
      <c r="C751" s="830"/>
      <c r="D751" s="323">
        <v>2</v>
      </c>
      <c r="E751" s="566" t="s">
        <v>3093</v>
      </c>
      <c r="F751" s="456">
        <f>SUM(F410,F409)</f>
        <v>23250000</v>
      </c>
      <c r="G751" s="306">
        <f>SUM(G410,G409)</f>
        <v>25750000</v>
      </c>
      <c r="H751" s="306"/>
      <c r="I751" s="306"/>
      <c r="J751" s="306"/>
      <c r="K751" s="419"/>
      <c r="L751" s="306"/>
      <c r="M751" s="306"/>
      <c r="N751" s="306">
        <f>SUM(N410,N409)</f>
        <v>2500000</v>
      </c>
    </row>
    <row r="752" spans="1:14" ht="15" customHeight="1" x14ac:dyDescent="0.25">
      <c r="A752" s="412"/>
      <c r="B752" s="808"/>
      <c r="C752" s="831" t="s">
        <v>2889</v>
      </c>
      <c r="D752" s="323">
        <v>4</v>
      </c>
      <c r="E752" s="563" t="s">
        <v>3086</v>
      </c>
      <c r="F752" s="456">
        <f>SUM(F412,F411,F400,F385)</f>
        <v>45650000</v>
      </c>
      <c r="G752" s="107">
        <f>SUM(G412,G411,G400,G385)</f>
        <v>48750000</v>
      </c>
      <c r="H752" s="107"/>
      <c r="I752" s="107"/>
      <c r="J752" s="107"/>
      <c r="K752" s="128"/>
      <c r="L752" s="107"/>
      <c r="M752" s="107"/>
      <c r="N752" s="107">
        <f>SUM(N412,N411,N400,N385)</f>
        <v>3100000</v>
      </c>
    </row>
    <row r="753" spans="1:15" ht="15" customHeight="1" x14ac:dyDescent="0.25">
      <c r="A753" s="412"/>
      <c r="B753" s="808"/>
      <c r="C753" s="831"/>
      <c r="D753" s="323">
        <v>4</v>
      </c>
      <c r="E753" s="561" t="s">
        <v>3041</v>
      </c>
      <c r="F753" s="456">
        <f>SUM(F406,F405,F399,F361)</f>
        <v>44800000</v>
      </c>
      <c r="G753" s="306">
        <f>SUM(G406,G405,G399,G361)</f>
        <v>48350000</v>
      </c>
      <c r="H753" s="306"/>
      <c r="I753" s="306"/>
      <c r="J753" s="306"/>
      <c r="K753" s="419"/>
      <c r="L753" s="306"/>
      <c r="M753" s="306"/>
      <c r="N753" s="306">
        <f>SUM(N406,N405,N399,N361)</f>
        <v>3550000</v>
      </c>
    </row>
    <row r="754" spans="1:15" ht="15" customHeight="1" x14ac:dyDescent="0.25">
      <c r="A754" s="412"/>
      <c r="B754" s="808"/>
      <c r="C754" s="831"/>
      <c r="D754" s="323">
        <v>6</v>
      </c>
      <c r="E754" s="559" t="s">
        <v>3032</v>
      </c>
      <c r="F754" s="456">
        <f>SUM(F396,F402,F403,F404,F407,F408)</f>
        <v>83000000</v>
      </c>
      <c r="G754" s="107">
        <f>SUM(G396,G402,G403,G404,G407,G408)</f>
        <v>89850000</v>
      </c>
      <c r="H754" s="107"/>
      <c r="I754" s="107"/>
      <c r="J754" s="107"/>
      <c r="K754" s="128"/>
      <c r="L754" s="107"/>
      <c r="M754" s="107"/>
      <c r="N754" s="107">
        <f>SUM(N396,N402,N403,N404,N407,N408)</f>
        <v>6850000</v>
      </c>
    </row>
    <row r="755" spans="1:15" ht="15" customHeight="1" x14ac:dyDescent="0.25">
      <c r="A755" s="412"/>
      <c r="B755" s="808"/>
      <c r="C755" s="831"/>
      <c r="D755" s="323">
        <v>4</v>
      </c>
      <c r="E755" s="553" t="s">
        <v>3008</v>
      </c>
      <c r="F755" s="456">
        <f>SUM(F397,F395,F391,F398)</f>
        <v>59400000</v>
      </c>
      <c r="G755" s="306">
        <f>SUM(G397,G395,G391,G398)</f>
        <v>66625000</v>
      </c>
      <c r="H755" s="306"/>
      <c r="I755" s="306"/>
      <c r="J755" s="306"/>
      <c r="K755" s="419"/>
      <c r="L755" s="306"/>
      <c r="M755" s="306"/>
      <c r="N755" s="306">
        <f>SUM(N397,N395,N391,N398)</f>
        <v>7225000</v>
      </c>
    </row>
    <row r="756" spans="1:15" ht="15" customHeight="1" x14ac:dyDescent="0.25">
      <c r="A756" s="412"/>
      <c r="B756" s="808"/>
      <c r="C756" s="829" t="s">
        <v>2739</v>
      </c>
      <c r="D756" s="323">
        <v>4</v>
      </c>
      <c r="E756" s="550" t="s">
        <v>2975</v>
      </c>
      <c r="F756" s="456">
        <f>SUM(F390,F394,F352,F376)</f>
        <v>51100000</v>
      </c>
      <c r="G756" s="306">
        <f>SUM(G390,G394,G352,G376)</f>
        <v>54950000</v>
      </c>
      <c r="H756" s="306"/>
      <c r="I756" s="306"/>
      <c r="J756" s="306"/>
      <c r="K756" s="419"/>
      <c r="L756" s="306"/>
      <c r="M756" s="306"/>
      <c r="N756" s="306">
        <f>SUM(N394,N390,N352,N376,)</f>
        <v>3850000</v>
      </c>
    </row>
    <row r="757" spans="1:15" ht="15" customHeight="1" x14ac:dyDescent="0.25">
      <c r="A757" s="412"/>
      <c r="B757" s="808"/>
      <c r="C757" s="829"/>
      <c r="D757" s="323">
        <v>4</v>
      </c>
      <c r="E757" s="548" t="s">
        <v>2952</v>
      </c>
      <c r="F757" s="456">
        <f>SUM(F271,F389,F392,F388)</f>
        <v>59300000</v>
      </c>
      <c r="G757" s="306">
        <f>SUM(G271,G389,G392,G388)</f>
        <v>64300000</v>
      </c>
      <c r="H757" s="306"/>
      <c r="I757" s="306"/>
      <c r="J757" s="306"/>
      <c r="K757" s="419"/>
      <c r="L757" s="306"/>
      <c r="M757" s="306"/>
      <c r="N757" s="306">
        <f>SUM(N271,N389,N392,N388)</f>
        <v>5000000</v>
      </c>
    </row>
    <row r="758" spans="1:15" ht="15" customHeight="1" x14ac:dyDescent="0.25">
      <c r="A758" s="412"/>
      <c r="B758" s="808"/>
      <c r="C758" s="829"/>
      <c r="D758" s="314">
        <v>3</v>
      </c>
      <c r="E758" s="545" t="s">
        <v>2890</v>
      </c>
      <c r="F758" s="542">
        <f>SUM(F375,F393,F387)</f>
        <v>29100000</v>
      </c>
      <c r="G758" s="311">
        <f>SUM(G375,G393,G387)</f>
        <v>30950000</v>
      </c>
      <c r="H758" s="311"/>
      <c r="I758" s="311"/>
      <c r="J758" s="311"/>
      <c r="K758" s="543"/>
      <c r="L758" s="311"/>
      <c r="M758" s="311"/>
      <c r="N758" s="311">
        <f>SUM(N375,N393,N387)</f>
        <v>1850000</v>
      </c>
    </row>
    <row r="759" spans="1:15" ht="15" customHeight="1" x14ac:dyDescent="0.25">
      <c r="A759" s="412"/>
      <c r="B759" s="808"/>
      <c r="C759" s="829"/>
      <c r="D759" s="323">
        <v>6</v>
      </c>
      <c r="E759" s="539" t="s">
        <v>2888</v>
      </c>
      <c r="F759" s="456">
        <f>SUM(F384,F382,F370,F378,F377,F386)</f>
        <v>61100000</v>
      </c>
      <c r="G759" s="306">
        <f>SUM(G384,G382,G370,G378,G377,G386)</f>
        <v>66025000</v>
      </c>
      <c r="H759" s="306"/>
      <c r="I759" s="306"/>
      <c r="J759" s="306"/>
      <c r="K759" s="419"/>
      <c r="L759" s="306"/>
      <c r="M759" s="306"/>
      <c r="N759" s="306">
        <f>SUM(N384,N382,N370,N378,N377,N386)</f>
        <v>4925000</v>
      </c>
    </row>
    <row r="760" spans="1:15" ht="15" customHeight="1" x14ac:dyDescent="0.25">
      <c r="A760" s="412"/>
      <c r="B760" s="808"/>
      <c r="C760" s="815" t="s">
        <v>2648</v>
      </c>
      <c r="D760" s="323">
        <v>3</v>
      </c>
      <c r="E760" s="536" t="s">
        <v>2831</v>
      </c>
      <c r="F760" s="456">
        <f>SUM(F372,F381,F383)</f>
        <v>31200000</v>
      </c>
      <c r="G760" s="107">
        <f>SUM(G372,G381,G383)</f>
        <v>33900000</v>
      </c>
      <c r="H760" s="107"/>
      <c r="I760" s="107"/>
      <c r="J760" s="107"/>
      <c r="K760" s="128"/>
      <c r="L760" s="107"/>
      <c r="M760" s="107"/>
      <c r="N760" s="107">
        <f>SUM(N372,N381,N383)</f>
        <v>2700000</v>
      </c>
    </row>
    <row r="761" spans="1:15" ht="15" customHeight="1" x14ac:dyDescent="0.25">
      <c r="A761" s="412"/>
      <c r="B761" s="808"/>
      <c r="C761" s="815"/>
      <c r="D761" s="323">
        <v>6</v>
      </c>
      <c r="E761" s="534" t="s">
        <v>2811</v>
      </c>
      <c r="F761" s="456">
        <f>SUM(F369,F374,F367,F379,F373,F380)</f>
        <v>67650000</v>
      </c>
      <c r="G761" s="306">
        <f>SUM(G369,G374,G367,G379,G373,G380)</f>
        <v>72350000</v>
      </c>
      <c r="H761" s="306"/>
      <c r="I761" s="306"/>
      <c r="J761" s="306"/>
      <c r="K761" s="419"/>
      <c r="L761" s="306"/>
      <c r="M761" s="306"/>
      <c r="N761" s="306">
        <f>SUM(N369,N374,N367,N379,N373,N380)</f>
        <v>4700000</v>
      </c>
    </row>
    <row r="762" spans="1:15" ht="15" customHeight="1" x14ac:dyDescent="0.25">
      <c r="A762" s="412"/>
      <c r="B762" s="809"/>
      <c r="C762" s="815"/>
      <c r="D762" s="323">
        <v>4</v>
      </c>
      <c r="E762" s="532" t="s">
        <v>2783</v>
      </c>
      <c r="F762" s="456">
        <f>SUM(F362,F368,F371,F364)</f>
        <v>48250000</v>
      </c>
      <c r="G762" s="306">
        <f>SUM(G362,G368,G371,G364)</f>
        <v>55950000</v>
      </c>
      <c r="H762" s="306"/>
      <c r="I762" s="306"/>
      <c r="J762" s="306"/>
      <c r="K762" s="419"/>
      <c r="L762" s="306"/>
      <c r="M762" s="306"/>
      <c r="N762" s="306">
        <f>SUM(N362,N368,N371,N364)</f>
        <v>7700000</v>
      </c>
    </row>
    <row r="763" spans="1:15" ht="15" hidden="1" customHeight="1" x14ac:dyDescent="0.25">
      <c r="A763" s="412" t="s">
        <v>2626</v>
      </c>
      <c r="B763" s="810"/>
      <c r="C763" s="815"/>
      <c r="D763" s="323">
        <v>4</v>
      </c>
      <c r="E763" s="528" t="s">
        <v>2765</v>
      </c>
      <c r="F763" s="456">
        <f>SUM(F366,F348,F360,F363)</f>
        <v>54550000</v>
      </c>
      <c r="G763" s="107">
        <f>SUM(G366,G348,G360,G363)</f>
        <v>59850000</v>
      </c>
      <c r="H763" s="107"/>
      <c r="I763" s="107"/>
      <c r="J763" s="107"/>
      <c r="K763" s="128"/>
      <c r="L763" s="107"/>
      <c r="M763" s="107"/>
      <c r="N763" s="107">
        <f>SUM(N366,N348,N360,N363)</f>
        <v>5300000</v>
      </c>
      <c r="O763" s="80" t="s">
        <v>2784</v>
      </c>
    </row>
    <row r="764" spans="1:15" ht="15" customHeight="1" x14ac:dyDescent="0.25">
      <c r="A764" s="412"/>
      <c r="B764" s="811"/>
      <c r="C764" s="816"/>
      <c r="D764" s="323">
        <v>2</v>
      </c>
      <c r="E764" s="524" t="s">
        <v>2740</v>
      </c>
      <c r="F764" s="456">
        <f>SUM(F340,F346)</f>
        <v>22500000</v>
      </c>
      <c r="G764" s="107">
        <f>SUM(G340,G346)</f>
        <v>24500000</v>
      </c>
      <c r="H764" s="107"/>
      <c r="I764" s="107"/>
      <c r="J764" s="107"/>
      <c r="K764" s="128"/>
      <c r="L764" s="107"/>
      <c r="M764" s="107"/>
      <c r="N764" s="107">
        <f>SUM(N340,N346)</f>
        <v>2000000</v>
      </c>
    </row>
    <row r="765" spans="1:15" ht="15" customHeight="1" x14ac:dyDescent="0.25">
      <c r="A765" s="412"/>
      <c r="B765" s="808"/>
      <c r="C765" s="823" t="s">
        <v>2548</v>
      </c>
      <c r="D765" s="323">
        <v>1</v>
      </c>
      <c r="E765" s="522" t="s">
        <v>2723</v>
      </c>
      <c r="F765" s="456">
        <f>SUM(F349)</f>
        <v>15000000</v>
      </c>
      <c r="G765" s="107">
        <f>SUM(G349)</f>
        <v>16675000</v>
      </c>
      <c r="H765" s="107"/>
      <c r="I765" s="107"/>
      <c r="J765" s="107"/>
      <c r="K765" s="128"/>
      <c r="L765" s="107"/>
      <c r="M765" s="107"/>
      <c r="N765" s="107">
        <f>SUM(N349)</f>
        <v>1675000</v>
      </c>
    </row>
    <row r="766" spans="1:15" ht="15" customHeight="1" x14ac:dyDescent="0.25">
      <c r="A766" s="412"/>
      <c r="B766" s="808"/>
      <c r="C766" s="824"/>
      <c r="D766" s="323">
        <v>3</v>
      </c>
      <c r="E766" s="520" t="s">
        <v>2715</v>
      </c>
      <c r="F766" s="456">
        <f>SUM(F355,F351,F353)</f>
        <v>45000000</v>
      </c>
      <c r="G766" s="306">
        <f>SUM(G355,G351,G353)</f>
        <v>50000000</v>
      </c>
      <c r="H766" s="306"/>
      <c r="I766" s="306"/>
      <c r="J766" s="306"/>
      <c r="K766" s="419"/>
      <c r="L766" s="306"/>
      <c r="M766" s="306"/>
      <c r="N766" s="306">
        <f>SUM(N355,N351,N353)</f>
        <v>5000000</v>
      </c>
    </row>
    <row r="767" spans="1:15" ht="15" customHeight="1" x14ac:dyDescent="0.25">
      <c r="A767" s="412"/>
      <c r="B767" s="808"/>
      <c r="C767" s="824"/>
      <c r="D767" s="518">
        <v>1</v>
      </c>
      <c r="E767" s="517" t="s">
        <v>2684</v>
      </c>
      <c r="F767" s="515">
        <f>SUM(F343)</f>
        <v>15000000</v>
      </c>
      <c r="G767" s="515">
        <f>SUM(G343)</f>
        <v>17000000</v>
      </c>
      <c r="H767" s="515"/>
      <c r="I767" s="515"/>
      <c r="J767" s="515"/>
      <c r="K767" s="516"/>
      <c r="L767" s="515"/>
      <c r="M767" s="515"/>
      <c r="N767" s="515">
        <f>SUM(N343)</f>
        <v>2000000</v>
      </c>
    </row>
    <row r="768" spans="1:15" ht="15" customHeight="1" x14ac:dyDescent="0.25">
      <c r="A768" s="412"/>
      <c r="B768" s="808"/>
      <c r="C768" s="825"/>
      <c r="D768" s="518">
        <v>4</v>
      </c>
      <c r="E768" s="513" t="s">
        <v>2683</v>
      </c>
      <c r="F768" s="456">
        <f>SUM(F357,F356,F345,F344)</f>
        <v>60000000</v>
      </c>
      <c r="G768" s="107">
        <f>SUM(G357,G356,G345,G344)</f>
        <v>66425000</v>
      </c>
      <c r="H768" s="107"/>
      <c r="I768" s="107"/>
      <c r="J768" s="107"/>
      <c r="K768" s="128"/>
      <c r="L768" s="107"/>
      <c r="M768" s="107"/>
      <c r="N768" s="107">
        <f>SUM(N357,N356,N345,N344)</f>
        <v>6425000</v>
      </c>
    </row>
    <row r="769" spans="1:16" ht="15" customHeight="1" x14ac:dyDescent="0.25">
      <c r="A769" s="412"/>
      <c r="B769" s="808"/>
      <c r="C769" s="803" t="s">
        <v>2331</v>
      </c>
      <c r="D769" s="323">
        <v>1</v>
      </c>
      <c r="E769" s="502" t="s">
        <v>2647</v>
      </c>
      <c r="F769" s="456">
        <f>SUM(F354)</f>
        <v>15000000</v>
      </c>
      <c r="G769" s="306">
        <f>SUM(G354)</f>
        <v>16750000</v>
      </c>
      <c r="H769" s="306"/>
      <c r="I769" s="306"/>
      <c r="J769" s="306"/>
      <c r="K769" s="419"/>
      <c r="L769" s="306"/>
      <c r="M769" s="306"/>
      <c r="N769" s="306">
        <f>SUM(N354)</f>
        <v>1750000</v>
      </c>
    </row>
    <row r="770" spans="1:16" ht="15" customHeight="1" x14ac:dyDescent="0.25">
      <c r="A770" s="412"/>
      <c r="B770" s="808"/>
      <c r="C770" s="803"/>
      <c r="D770" s="323">
        <v>6</v>
      </c>
      <c r="E770" s="497" t="s">
        <v>2625</v>
      </c>
      <c r="F770" s="456">
        <f>SUM(F359,F358,F350,F347,F342,F341)</f>
        <v>90000000</v>
      </c>
      <c r="G770" s="306">
        <f>SUM(G359,G358,G350,G347,G342,G341)</f>
        <v>101850000</v>
      </c>
      <c r="H770" s="306"/>
      <c r="I770" s="306"/>
      <c r="J770" s="306"/>
      <c r="K770" s="419"/>
      <c r="L770" s="306"/>
      <c r="M770" s="306"/>
      <c r="N770" s="306">
        <f>SUM(N359,N358,N350,N347,N342,N341)</f>
        <v>11850000</v>
      </c>
      <c r="O770" s="472"/>
    </row>
    <row r="771" spans="1:16" ht="15" customHeight="1" x14ac:dyDescent="0.25">
      <c r="A771" s="412"/>
      <c r="B771" s="809"/>
      <c r="C771" s="803"/>
      <c r="D771" s="498">
        <v>1</v>
      </c>
      <c r="E771" s="493" t="s">
        <v>2562</v>
      </c>
      <c r="F771" s="494">
        <f>SUM(F209)</f>
        <v>34000000</v>
      </c>
      <c r="G771" s="495">
        <f>SUM(G209)</f>
        <v>25000000</v>
      </c>
      <c r="H771" s="495"/>
      <c r="I771" s="495"/>
      <c r="J771" s="495"/>
      <c r="K771" s="496"/>
      <c r="L771" s="495"/>
      <c r="M771" s="495"/>
      <c r="N771" s="495"/>
      <c r="P771" s="154"/>
    </row>
    <row r="772" spans="1:16" x14ac:dyDescent="0.25">
      <c r="A772" s="412"/>
      <c r="B772" s="796">
        <v>2020</v>
      </c>
      <c r="C772" s="803"/>
      <c r="D772" s="323">
        <v>5</v>
      </c>
      <c r="E772" s="487" t="s">
        <v>2560</v>
      </c>
      <c r="F772" s="456">
        <f>SUM(F333,F332,F321,F336,F311)</f>
        <v>70000000</v>
      </c>
      <c r="G772" s="306">
        <f>SUM(G333,G332,G321,G336,G311)</f>
        <v>72150000</v>
      </c>
      <c r="H772" s="306"/>
      <c r="I772" s="306"/>
      <c r="J772" s="306"/>
      <c r="K772" s="419"/>
      <c r="L772" s="306"/>
      <c r="M772" s="306"/>
      <c r="N772" s="306">
        <f>SUM(N333,N332,N321,N336,N311)</f>
        <v>2150000</v>
      </c>
    </row>
    <row r="773" spans="1:16" x14ac:dyDescent="0.25">
      <c r="A773" s="412"/>
      <c r="B773" s="797"/>
      <c r="C773" s="802" t="s">
        <v>2001</v>
      </c>
      <c r="D773" s="323">
        <v>2</v>
      </c>
      <c r="E773" s="485" t="s">
        <v>2547</v>
      </c>
      <c r="F773" s="456">
        <f>SUM(F339,F325)</f>
        <v>26000000</v>
      </c>
      <c r="G773" s="306">
        <f>SUM(G339,G325)</f>
        <v>28250000</v>
      </c>
      <c r="H773" s="306"/>
      <c r="I773" s="306"/>
      <c r="J773" s="306"/>
      <c r="K773" s="419"/>
      <c r="L773" s="306"/>
      <c r="M773" s="306"/>
      <c r="N773" s="306">
        <f>SUM(N339,N325)</f>
        <v>2250000</v>
      </c>
    </row>
    <row r="774" spans="1:16" x14ac:dyDescent="0.25">
      <c r="A774" s="412"/>
      <c r="B774" s="797"/>
      <c r="C774" s="802"/>
      <c r="D774" s="323">
        <v>4</v>
      </c>
      <c r="E774" s="483" t="s">
        <v>2491</v>
      </c>
      <c r="F774" s="456">
        <f>SUM(F338,F331,F327,F319)</f>
        <v>52000000</v>
      </c>
      <c r="G774" s="107">
        <f>SUM(G338,G331,G327,G319)</f>
        <v>57400000</v>
      </c>
      <c r="H774" s="107"/>
      <c r="I774" s="107"/>
      <c r="J774" s="107"/>
      <c r="K774" s="128"/>
      <c r="L774" s="107"/>
      <c r="M774" s="107"/>
      <c r="N774" s="107">
        <f>SUM(N338,N331,N327,N319)</f>
        <v>5400000</v>
      </c>
    </row>
    <row r="775" spans="1:16" x14ac:dyDescent="0.25">
      <c r="A775" s="412"/>
      <c r="B775" s="797"/>
      <c r="C775" s="802"/>
      <c r="D775" s="323">
        <v>8</v>
      </c>
      <c r="E775" s="478" t="s">
        <v>2378</v>
      </c>
      <c r="F775" s="456">
        <f>SUM(F323,F326,F329,F330,F334,F335,F318,F322)</f>
        <v>105500000</v>
      </c>
      <c r="G775" s="107">
        <f>SUM(G323,G326,G329,G330,G334,G335,G318,G320)</f>
        <v>116450000</v>
      </c>
      <c r="H775" s="107"/>
      <c r="I775" s="107"/>
      <c r="J775" s="107"/>
      <c r="K775" s="128"/>
      <c r="L775" s="107"/>
      <c r="M775" s="107"/>
      <c r="N775" s="107">
        <f>SUM(N323,N326,N329,N330,N334,N335,N318,N320)</f>
        <v>10950000</v>
      </c>
    </row>
    <row r="776" spans="1:16" x14ac:dyDescent="0.25">
      <c r="A776" s="412"/>
      <c r="B776" s="797"/>
      <c r="C776" s="802"/>
      <c r="D776" s="323">
        <v>3</v>
      </c>
      <c r="E776" s="475" t="s">
        <v>2330</v>
      </c>
      <c r="F776" s="456">
        <f>SUM(F322,F328,F307)</f>
        <v>35500000</v>
      </c>
      <c r="G776" s="107">
        <f>SUM(G322,G328,G307)</f>
        <v>39700000</v>
      </c>
      <c r="H776" s="107"/>
      <c r="I776" s="107"/>
      <c r="J776" s="107"/>
      <c r="K776" s="128"/>
      <c r="L776" s="107"/>
      <c r="M776" s="107"/>
      <c r="N776" s="107">
        <f>SUM(N322,N328,N307)</f>
        <v>4200000</v>
      </c>
    </row>
    <row r="777" spans="1:16" x14ac:dyDescent="0.25">
      <c r="A777" s="412"/>
      <c r="B777" s="797"/>
      <c r="C777" s="801" t="s">
        <v>2000</v>
      </c>
      <c r="D777" s="323">
        <v>5</v>
      </c>
      <c r="E777" s="473" t="s">
        <v>2288</v>
      </c>
      <c r="F777" s="456">
        <f>SUM(F316,F310,F308,F315,F317)</f>
        <v>56000000</v>
      </c>
      <c r="G777" s="107">
        <f>SUM(G316,G310,G308,G315,G317)</f>
        <v>62250000</v>
      </c>
      <c r="H777" s="107"/>
      <c r="I777" s="107"/>
      <c r="J777" s="107"/>
      <c r="K777" s="128"/>
      <c r="L777" s="107"/>
      <c r="M777" s="107"/>
      <c r="N777" s="107">
        <f>SUM(N316,N310,N308,N315,N317)</f>
        <v>6250000</v>
      </c>
    </row>
    <row r="778" spans="1:16" x14ac:dyDescent="0.25">
      <c r="A778" s="412"/>
      <c r="B778" s="797"/>
      <c r="C778" s="801"/>
      <c r="D778" s="323">
        <v>9</v>
      </c>
      <c r="E778" s="469" t="s">
        <v>2258</v>
      </c>
      <c r="F778" s="456">
        <f>SUM(F301,F270,F305,F212,F239,F314,F309,F312,F313)</f>
        <v>138100000</v>
      </c>
      <c r="G778" s="107">
        <f>SUM(G301,G270,G305,G212,G239,G314,G309,G312,G313)</f>
        <v>140050000</v>
      </c>
      <c r="H778" s="107"/>
      <c r="I778" s="107"/>
      <c r="J778" s="107"/>
      <c r="K778" s="128"/>
      <c r="L778" s="107"/>
      <c r="M778" s="107"/>
      <c r="N778" s="107">
        <f>SUM(N301,N270,N305,N239,N314,N309,N212,N312,N313)</f>
        <v>1950000</v>
      </c>
    </row>
    <row r="779" spans="1:16" x14ac:dyDescent="0.25">
      <c r="A779" s="412"/>
      <c r="B779" s="797"/>
      <c r="C779" s="801"/>
      <c r="D779" s="222">
        <v>5</v>
      </c>
      <c r="E779" s="462" t="s">
        <v>2065</v>
      </c>
      <c r="F779" s="456">
        <f>SUM(F294,F272,F303,F286,F274)</f>
        <v>78250000</v>
      </c>
      <c r="G779" s="107">
        <f>SUM(G294,G272,G286,G274,G303)</f>
        <v>90000000</v>
      </c>
      <c r="H779" s="107"/>
      <c r="I779" s="107"/>
      <c r="J779" s="107"/>
      <c r="K779" s="128"/>
      <c r="L779" s="107"/>
      <c r="M779" s="107"/>
      <c r="N779" s="107">
        <f>SUM(N294,N272,N286,N274,N303)</f>
        <v>11750000</v>
      </c>
      <c r="O779" s="79"/>
    </row>
    <row r="780" spans="1:16" x14ac:dyDescent="0.25">
      <c r="A780" s="412"/>
      <c r="B780" s="797"/>
      <c r="C780" s="801"/>
      <c r="D780" s="373">
        <f>29</f>
        <v>29</v>
      </c>
      <c r="E780" s="422" t="s">
        <v>2011</v>
      </c>
      <c r="F780" s="456">
        <f>SUM(F269,F276,F277,F283,F284,F285,F289,F291,F293,F298,F299,F300,F302,F296,F281,F297,F292,F295,F275,F306,F288,F290,F273,F304,F280,F278,F287,F279,F282)</f>
        <v>399250000</v>
      </c>
      <c r="G780" s="107">
        <f>SUM(G269,G276,G277,G283,G284,G285,G289,G291,G293,G298,G300,G299,G302,G296,G281,G297,G292,G295,G275,G306,G288,G290,G273,G304,G280,G278,G287,G279,G282)</f>
        <v>442700000</v>
      </c>
      <c r="H780" s="107"/>
      <c r="I780" s="107"/>
      <c r="J780" s="107"/>
      <c r="K780" s="128"/>
      <c r="L780" s="107"/>
      <c r="M780" s="107"/>
      <c r="N780" s="107">
        <f>SUM(N269,N276,N277,N283,N284,N289,N285,N291,N293,N298,N299,N300,N302,N296,N281,N297,N292,N295,N275,N306,N288,N290,N273,N304,N280,N278,N287,N279,N282)</f>
        <v>43450000</v>
      </c>
      <c r="O780" s="79"/>
    </row>
    <row r="781" spans="1:16" x14ac:dyDescent="0.25">
      <c r="A781" s="412"/>
      <c r="B781" s="797"/>
      <c r="C781" s="800" t="s">
        <v>1999</v>
      </c>
      <c r="D781" s="323">
        <f>3</f>
        <v>3</v>
      </c>
      <c r="E781" s="420" t="s">
        <v>1961</v>
      </c>
      <c r="F781" s="456">
        <f>SUM(F260,F241,F262)</f>
        <v>36750000</v>
      </c>
      <c r="G781" s="306">
        <f>SUM(G260,G241,G262)</f>
        <v>42500000</v>
      </c>
      <c r="H781" s="306"/>
      <c r="I781" s="306"/>
      <c r="J781" s="306"/>
      <c r="K781" s="419"/>
      <c r="L781" s="306"/>
      <c r="M781" s="306"/>
      <c r="N781" s="306">
        <f>SUM(N260,N241,N262)</f>
        <v>5750000</v>
      </c>
      <c r="O781" s="79"/>
    </row>
    <row r="782" spans="1:16" x14ac:dyDescent="0.25">
      <c r="A782" s="412"/>
      <c r="B782" s="797"/>
      <c r="C782" s="800"/>
      <c r="D782" s="323">
        <f>11</f>
        <v>11</v>
      </c>
      <c r="E782" s="405" t="s">
        <v>1928</v>
      </c>
      <c r="F782" s="456">
        <f>SUM(F263,F254,F252,F267,F265,F257,F259,F245,F251,F249,F253)</f>
        <v>155850000</v>
      </c>
      <c r="G782" s="107">
        <f>SUM(G263,G254,G252,G267,G265,G257,G259,G245,G251,G249,G253)</f>
        <v>176050000</v>
      </c>
      <c r="H782" s="107"/>
      <c r="I782" s="107"/>
      <c r="J782" s="107"/>
      <c r="K782" s="128"/>
      <c r="L782" s="107"/>
      <c r="M782" s="107"/>
      <c r="N782" s="107">
        <f>SUM(N254,N263,N252,N267,N265,N257,N259,N245,N251,N249,N253)</f>
        <v>20200000</v>
      </c>
    </row>
    <row r="783" spans="1:16" x14ac:dyDescent="0.25">
      <c r="A783" s="412"/>
      <c r="B783" s="797"/>
      <c r="C783" s="800"/>
      <c r="D783" s="323">
        <f>12</f>
        <v>12</v>
      </c>
      <c r="E783" s="402" t="s">
        <v>1838</v>
      </c>
      <c r="F783" s="456">
        <f>SUM(F222,F255,F258,F264,F266,F268,F250,F256,F248,F261,F247,F246)</f>
        <v>155350000</v>
      </c>
      <c r="G783" s="107">
        <f>SUM(G222,G255,G258,G264,G266,G268,G250,G256,G248,G261,G247,G246)</f>
        <v>177175000</v>
      </c>
      <c r="H783" s="107"/>
      <c r="I783" s="107"/>
      <c r="J783" s="107"/>
      <c r="K783" s="128"/>
      <c r="L783" s="107"/>
      <c r="M783" s="107"/>
      <c r="N783" s="107">
        <f>SUM(N222,N255,N258,N264,N266,N268,N250,N256,N248,N261,N247,N246)</f>
        <v>21825000</v>
      </c>
      <c r="O783" s="79"/>
    </row>
    <row r="784" spans="1:16" x14ac:dyDescent="0.25">
      <c r="A784" s="412"/>
      <c r="B784" s="797"/>
      <c r="C784" s="800"/>
      <c r="D784" s="323">
        <v>3</v>
      </c>
      <c r="E784" s="399" t="s">
        <v>1694</v>
      </c>
      <c r="F784" s="459">
        <f>SUM(F218,F227,F224)</f>
        <v>38100000</v>
      </c>
      <c r="G784" s="305">
        <f>SUM(G218,G227,G224)</f>
        <v>44750000</v>
      </c>
      <c r="H784" s="305"/>
      <c r="I784" s="305"/>
      <c r="J784" s="305"/>
      <c r="K784" s="348"/>
      <c r="L784" s="305"/>
      <c r="M784" s="305"/>
      <c r="N784" s="305">
        <f>SUM(N218,N227,N224)</f>
        <v>6650000</v>
      </c>
      <c r="O784" s="79"/>
    </row>
    <row r="785" spans="1:15" x14ac:dyDescent="0.25">
      <c r="A785" s="412"/>
      <c r="B785" s="797"/>
      <c r="C785" s="799" t="s">
        <v>1998</v>
      </c>
      <c r="D785" s="323">
        <f>15</f>
        <v>15</v>
      </c>
      <c r="E785" s="394" t="s">
        <v>1693</v>
      </c>
      <c r="F785" s="459">
        <f>SUM(F226,F235,F230,F216,F221,F228,F243,F223,F219,F225,F242,F240,F217,F231,F232)</f>
        <v>199900000</v>
      </c>
      <c r="G785" s="20">
        <f>SUM(G226,G235,G230,G216,G221,G228,G243,G223,G219,G225,G242,G240,G217,G231,G232)</f>
        <v>229850000</v>
      </c>
      <c r="H785" s="20"/>
      <c r="I785" s="20"/>
      <c r="J785" s="20"/>
      <c r="K785" s="2"/>
      <c r="L785" s="20"/>
      <c r="M785" s="20"/>
      <c r="N785" s="20">
        <f>SUM(N226,N235,N230,N216,N221,N228,N243,N223,N219,N225,N242,N240,N217,N231,N232)</f>
        <v>29950000</v>
      </c>
      <c r="O785" s="278"/>
    </row>
    <row r="786" spans="1:15" x14ac:dyDescent="0.25">
      <c r="A786" s="412"/>
      <c r="B786" s="797"/>
      <c r="C786" s="799"/>
      <c r="D786" s="323">
        <v>9</v>
      </c>
      <c r="E786" s="392" t="s">
        <v>1635</v>
      </c>
      <c r="F786" s="456">
        <f>SUM(F237,F244,F236,F234,F233,F229,F215,F238,F220)</f>
        <v>106700000</v>
      </c>
      <c r="G786" s="107">
        <f>SUM(G237,G244,G236,G234,G233,G229,G215,G238,G220)</f>
        <v>121700000</v>
      </c>
      <c r="H786" s="107"/>
      <c r="I786" s="107"/>
      <c r="J786" s="107"/>
      <c r="K786" s="128"/>
      <c r="L786" s="107"/>
      <c r="M786" s="107"/>
      <c r="N786" s="107">
        <f>SUM(N237,N244,N236,N234,N233,N229,N215,N238,N220)</f>
        <v>15000000</v>
      </c>
      <c r="O786" s="278"/>
    </row>
    <row r="787" spans="1:15" x14ac:dyDescent="0.25">
      <c r="A787" s="412"/>
      <c r="B787" s="797"/>
      <c r="C787" s="799"/>
      <c r="D787" s="365">
        <v>2</v>
      </c>
      <c r="E787" s="390" t="s">
        <v>1608</v>
      </c>
      <c r="F787" s="459">
        <f>17000000+F214</f>
        <v>30400000</v>
      </c>
      <c r="G787" s="20">
        <f>17000000+G214</f>
        <v>30500000</v>
      </c>
      <c r="H787" s="20"/>
      <c r="I787" s="20"/>
      <c r="J787" s="20"/>
      <c r="K787" s="2"/>
      <c r="L787" s="20"/>
      <c r="M787" s="20"/>
      <c r="N787" s="20">
        <f>SUM(N213,N214)</f>
        <v>100000</v>
      </c>
      <c r="O787" s="278"/>
    </row>
    <row r="788" spans="1:15" x14ac:dyDescent="0.25">
      <c r="A788" s="412"/>
      <c r="B788" s="797"/>
      <c r="C788" s="799"/>
      <c r="D788" s="365">
        <f>1</f>
        <v>1</v>
      </c>
      <c r="E788" s="386" t="s">
        <v>1600</v>
      </c>
      <c r="F788" s="459">
        <f>35500000</f>
        <v>35500000</v>
      </c>
      <c r="G788" s="305">
        <f>35500000</f>
        <v>35500000</v>
      </c>
      <c r="H788" s="20"/>
      <c r="I788" s="20"/>
      <c r="J788" s="20"/>
      <c r="K788" s="2"/>
      <c r="L788" s="20"/>
      <c r="M788" s="20"/>
      <c r="N788" s="20">
        <v>0</v>
      </c>
      <c r="O788" s="278"/>
    </row>
    <row r="789" spans="1:15" x14ac:dyDescent="0.25">
      <c r="A789" s="418"/>
      <c r="B789" s="797"/>
      <c r="C789" s="798" t="s">
        <v>1997</v>
      </c>
      <c r="D789" s="756">
        <f>0</f>
        <v>0</v>
      </c>
      <c r="E789" s="385" t="s">
        <v>1582</v>
      </c>
      <c r="F789" s="352">
        <f>0</f>
        <v>0</v>
      </c>
      <c r="G789" s="85">
        <f>0</f>
        <v>0</v>
      </c>
      <c r="H789" s="20"/>
      <c r="I789" s="20"/>
      <c r="J789" s="20"/>
      <c r="K789" s="2"/>
      <c r="L789" s="20"/>
      <c r="M789" s="20"/>
      <c r="N789" s="20">
        <v>0</v>
      </c>
      <c r="O789" s="79"/>
    </row>
    <row r="790" spans="1:15" x14ac:dyDescent="0.25">
      <c r="A790" s="412"/>
      <c r="B790" s="797"/>
      <c r="C790" s="798"/>
      <c r="D790" s="723">
        <v>0</v>
      </c>
      <c r="E790" s="376" t="s">
        <v>1525</v>
      </c>
      <c r="F790" s="352">
        <f>0</f>
        <v>0</v>
      </c>
      <c r="G790" s="85">
        <f>0</f>
        <v>0</v>
      </c>
      <c r="H790" s="20"/>
      <c r="I790" s="20"/>
      <c r="J790" s="20"/>
      <c r="K790" s="2"/>
      <c r="L790" s="20"/>
      <c r="M790" s="20"/>
      <c r="N790" s="20">
        <v>0</v>
      </c>
      <c r="O790" s="79"/>
    </row>
    <row r="791" spans="1:15" x14ac:dyDescent="0.25">
      <c r="B791" s="797"/>
      <c r="C791" s="798"/>
      <c r="D791" s="323">
        <v>4</v>
      </c>
      <c r="E791" s="372" t="s">
        <v>1524</v>
      </c>
      <c r="F791" s="459">
        <f>SUM(F169,F201,F116,F211)</f>
        <v>83200000</v>
      </c>
      <c r="G791" s="20">
        <f>SUM(G169,G201,G116,G211)</f>
        <v>88750000</v>
      </c>
      <c r="H791" s="20"/>
      <c r="I791" s="20"/>
      <c r="J791" s="20"/>
      <c r="K791" s="2"/>
      <c r="L791" s="20"/>
      <c r="M791" s="20"/>
      <c r="N791" s="20">
        <f>SUM(N169,N201,N116,N211)</f>
        <v>5550000</v>
      </c>
      <c r="O791" s="79"/>
    </row>
    <row r="792" spans="1:15" x14ac:dyDescent="0.25">
      <c r="B792" s="797"/>
      <c r="C792" s="798"/>
      <c r="D792" s="756">
        <f>0</f>
        <v>0</v>
      </c>
      <c r="E792" s="367" t="s">
        <v>1472</v>
      </c>
      <c r="F792" s="352">
        <v>0</v>
      </c>
      <c r="G792" s="20">
        <v>0</v>
      </c>
      <c r="H792" s="20"/>
      <c r="I792" s="20"/>
      <c r="J792" s="20"/>
      <c r="K792" s="2"/>
      <c r="L792" s="20"/>
      <c r="M792" s="20"/>
      <c r="N792" s="20">
        <v>0</v>
      </c>
      <c r="O792" s="79"/>
    </row>
    <row r="793" spans="1:15" x14ac:dyDescent="0.25">
      <c r="B793" s="797"/>
      <c r="C793" s="807" t="s">
        <v>1996</v>
      </c>
      <c r="D793" s="756">
        <f>0</f>
        <v>0</v>
      </c>
      <c r="E793" s="366" t="s">
        <v>1470</v>
      </c>
      <c r="F793" s="460">
        <v>0</v>
      </c>
      <c r="G793" s="107">
        <v>0</v>
      </c>
      <c r="H793" s="107"/>
      <c r="I793" s="107"/>
      <c r="J793" s="107"/>
      <c r="K793" s="128"/>
      <c r="L793" s="107"/>
      <c r="M793" s="107"/>
      <c r="N793" s="107">
        <v>0</v>
      </c>
      <c r="O793" s="79"/>
    </row>
    <row r="794" spans="1:15" x14ac:dyDescent="0.25">
      <c r="B794" s="797"/>
      <c r="C794" s="807"/>
      <c r="D794" s="365">
        <v>3</v>
      </c>
      <c r="E794" s="363" t="s">
        <v>1435</v>
      </c>
      <c r="F794" s="459">
        <f>F184+F196+F194</f>
        <v>36550000</v>
      </c>
      <c r="G794" s="20">
        <f>G184+G196+G194</f>
        <v>39950000</v>
      </c>
      <c r="H794" s="20"/>
      <c r="I794" s="20"/>
      <c r="J794" s="20"/>
      <c r="K794" s="2"/>
      <c r="L794" s="20"/>
      <c r="M794" s="20"/>
      <c r="N794" s="20">
        <f>SUM(N196,N184,N194)</f>
        <v>3400000</v>
      </c>
      <c r="O794" s="79"/>
    </row>
    <row r="795" spans="1:15" x14ac:dyDescent="0.25">
      <c r="A795" s="429"/>
      <c r="B795" s="797"/>
      <c r="C795" s="807"/>
      <c r="D795" s="358">
        <v>1</v>
      </c>
      <c r="E795" s="362" t="s">
        <v>1401</v>
      </c>
      <c r="F795" s="459">
        <f>SUM(F192)</f>
        <v>14650000</v>
      </c>
      <c r="G795" s="305">
        <f>SUM(G192)</f>
        <v>16250000</v>
      </c>
      <c r="H795" s="20"/>
      <c r="I795" s="20"/>
      <c r="J795" s="20"/>
      <c r="K795" s="2"/>
      <c r="L795" s="20"/>
      <c r="M795" s="20"/>
      <c r="N795" s="20">
        <f>SUM(N192)</f>
        <v>1600000</v>
      </c>
    </row>
    <row r="796" spans="1:15" x14ac:dyDescent="0.25">
      <c r="A796" s="429"/>
      <c r="B796" s="797"/>
      <c r="C796" s="807"/>
      <c r="D796" s="358">
        <v>8</v>
      </c>
      <c r="E796" s="356" t="s">
        <v>1335</v>
      </c>
      <c r="F796" s="459">
        <f>SUM(F197,F198,F203,F190,F199,F193,F177,F171)</f>
        <v>125450000</v>
      </c>
      <c r="G796" s="20">
        <f>SUM(G197,G198,G203,G190,G199,G193,G177,G171)</f>
        <v>137950000</v>
      </c>
      <c r="H796" s="20"/>
      <c r="I796" s="20"/>
      <c r="J796" s="20"/>
      <c r="K796" s="2"/>
      <c r="L796" s="20"/>
      <c r="M796" s="20"/>
      <c r="N796" s="20">
        <f>SUM(N197,N198,N203,N190,N199,N193,N177,N171)</f>
        <v>12500000</v>
      </c>
      <c r="O796" s="103"/>
    </row>
    <row r="797" spans="1:15" x14ac:dyDescent="0.25">
      <c r="A797" s="429"/>
      <c r="B797" s="797"/>
      <c r="C797" s="806" t="s">
        <v>1995</v>
      </c>
      <c r="D797" s="373">
        <v>28</v>
      </c>
      <c r="E797" s="324" t="s">
        <v>1255</v>
      </c>
      <c r="F797" s="450">
        <f>SUM(F172,F176,F178,F180,F181,F183,F191,F208,F200,F205,F207,F182,F204,F186,F188,F165,F202,F173,F170,F206,F175,F195,F210,F189,F187,F185,F179,F174)</f>
        <v>398150000</v>
      </c>
      <c r="G797" s="20">
        <f>SUM(G172,G176,G178,G180,G181,G183,G191,G208,G200,G165,G205,G207,G182,G204,G186,G188,G202,G173,G170,G206,G175,G195,G210,G189,G187,G185,G179,G174)</f>
        <v>443850000</v>
      </c>
      <c r="H797" s="20"/>
      <c r="I797" s="20"/>
      <c r="J797" s="20"/>
      <c r="K797" s="2"/>
      <c r="L797" s="20"/>
      <c r="M797" s="20"/>
      <c r="N797" s="20">
        <f>SUM(N207,N205,N200,N208,N191,N183,N181,N180,N178,N176,N172,N182,N204,N186,N188,N165,N202,N173,N170,N206,N175,N195,N210,N189,N187,N185,N179,N174)</f>
        <v>45700000</v>
      </c>
      <c r="O797" s="79"/>
    </row>
    <row r="798" spans="1:15" x14ac:dyDescent="0.25">
      <c r="A798" s="429"/>
      <c r="B798" s="797"/>
      <c r="C798" s="806"/>
      <c r="D798" s="323">
        <v>1</v>
      </c>
      <c r="E798" s="317" t="s">
        <v>1223</v>
      </c>
      <c r="F798" s="450">
        <f>SUM(F166)</f>
        <v>21300000</v>
      </c>
      <c r="G798" s="20">
        <f>SUM(G166)</f>
        <v>22000000</v>
      </c>
      <c r="H798" s="20"/>
      <c r="I798" s="20"/>
      <c r="J798" s="20"/>
      <c r="K798" s="2"/>
      <c r="L798" s="20"/>
      <c r="M798" s="20"/>
      <c r="N798" s="20">
        <f>SUM(N166)</f>
        <v>700000</v>
      </c>
      <c r="O798" s="79"/>
    </row>
    <row r="799" spans="1:15" x14ac:dyDescent="0.25">
      <c r="A799" s="429"/>
      <c r="B799" s="797"/>
      <c r="C799" s="806"/>
      <c r="D799" s="314">
        <v>1</v>
      </c>
      <c r="E799" s="312" t="s">
        <v>1145</v>
      </c>
      <c r="F799" s="450">
        <f>SUM(F140)</f>
        <v>10500000</v>
      </c>
      <c r="G799" s="20">
        <f>SUM(G140)</f>
        <v>10150000</v>
      </c>
      <c r="H799" s="20"/>
      <c r="I799" s="20"/>
      <c r="J799" s="20"/>
      <c r="K799" s="2"/>
      <c r="L799" s="20"/>
      <c r="M799" s="20"/>
      <c r="N799" s="277">
        <f>SUM(N140)</f>
        <v>-350000</v>
      </c>
      <c r="O799" s="79"/>
    </row>
    <row r="800" spans="1:15" x14ac:dyDescent="0.25">
      <c r="A800" s="429"/>
      <c r="B800" s="797"/>
      <c r="C800" s="806"/>
      <c r="D800" s="309">
        <v>6</v>
      </c>
      <c r="E800" s="308" t="s">
        <v>1101</v>
      </c>
      <c r="F800" s="452">
        <f>SUM(F159,F125,F113,F167,F168,F119)</f>
        <v>93475000</v>
      </c>
      <c r="G800" s="20">
        <f>SUM(G159,G125,G113,G167,G168,G119)</f>
        <v>103650000</v>
      </c>
      <c r="H800" s="20"/>
      <c r="I800" s="20"/>
      <c r="J800" s="20"/>
      <c r="K800" s="2"/>
      <c r="L800" s="20"/>
      <c r="M800" s="20"/>
      <c r="N800" s="20">
        <f>SUM(N159,N125,N113,N167,N168,N119)</f>
        <v>10175000</v>
      </c>
    </row>
    <row r="801" spans="1:15" x14ac:dyDescent="0.25">
      <c r="A801" s="429"/>
      <c r="B801" s="797"/>
      <c r="C801" s="805" t="s">
        <v>1994</v>
      </c>
      <c r="D801" s="309">
        <v>9</v>
      </c>
      <c r="E801" s="301" t="s">
        <v>1064</v>
      </c>
      <c r="F801" s="452">
        <f>SUM(F153,F138,F137,F149,F106,F143,F123,F156,F164)</f>
        <v>107000000</v>
      </c>
      <c r="G801" s="20">
        <f>SUM(G153,G138,G137,G149,G106,G143,G123,G156,G164)</f>
        <v>117690000</v>
      </c>
      <c r="H801" s="20"/>
      <c r="I801" s="20"/>
      <c r="J801" s="20"/>
      <c r="K801" s="2"/>
      <c r="L801" s="20"/>
      <c r="M801" s="20"/>
      <c r="N801" s="20">
        <f>SUM(N153,N138,N137,N149,N106,N143,N156,N123,N164)</f>
        <v>10690000</v>
      </c>
    </row>
    <row r="802" spans="1:15" x14ac:dyDescent="0.25">
      <c r="A802" s="429"/>
      <c r="B802" s="797"/>
      <c r="C802" s="805"/>
      <c r="D802" s="309">
        <v>1</v>
      </c>
      <c r="E802" s="286" t="s">
        <v>1010</v>
      </c>
      <c r="F802" s="450">
        <f>SUM(F142)</f>
        <v>10500000</v>
      </c>
      <c r="G802" s="20">
        <f>SUM(G142)</f>
        <v>11500000</v>
      </c>
      <c r="H802" s="20"/>
      <c r="I802" s="20"/>
      <c r="J802" s="20"/>
      <c r="K802" s="2"/>
      <c r="L802" s="20"/>
      <c r="M802" s="20"/>
      <c r="N802" s="20">
        <f>SUM(N142)</f>
        <v>1000000</v>
      </c>
    </row>
    <row r="803" spans="1:15" x14ac:dyDescent="0.25">
      <c r="A803" s="429"/>
      <c r="B803" s="797"/>
      <c r="C803" s="805"/>
      <c r="D803" s="309">
        <v>6</v>
      </c>
      <c r="E803" s="279" t="s">
        <v>951</v>
      </c>
      <c r="F803" s="450">
        <f>SUM(F162,F160,F97,F133,F120,F122)</f>
        <v>96750000</v>
      </c>
      <c r="G803" s="20">
        <f>SUM(G162,G160,G97,G133,G120,G122)</f>
        <v>104500000</v>
      </c>
      <c r="H803" s="20"/>
      <c r="I803" s="20"/>
      <c r="J803" s="20"/>
      <c r="K803" s="2"/>
      <c r="L803" s="20"/>
      <c r="M803" s="20"/>
      <c r="N803" s="20">
        <f>SUM(N160,N162,N97,N133,N120,N122)</f>
        <v>7750000</v>
      </c>
    </row>
    <row r="804" spans="1:15" x14ac:dyDescent="0.25">
      <c r="A804" s="429"/>
      <c r="B804" s="797"/>
      <c r="C804" s="805"/>
      <c r="D804" s="309">
        <v>5</v>
      </c>
      <c r="E804" s="261" t="s">
        <v>835</v>
      </c>
      <c r="F804" s="450">
        <f>SUM(F118,F155,F157,F161,F158)</f>
        <v>74500000</v>
      </c>
      <c r="G804" s="20">
        <f>SUM(G118,G155,G157,G161,G158)</f>
        <v>86000000</v>
      </c>
      <c r="H804" s="20"/>
      <c r="I804" s="20"/>
      <c r="J804" s="20"/>
      <c r="K804" s="2"/>
      <c r="L804" s="20"/>
      <c r="M804" s="20"/>
      <c r="N804" s="20">
        <f>SUM(N118,N155,N157,N161,N158)</f>
        <v>11500000</v>
      </c>
    </row>
    <row r="805" spans="1:15" x14ac:dyDescent="0.25">
      <c r="A805" s="429"/>
      <c r="B805" s="797"/>
      <c r="C805" s="804" t="s">
        <v>1993</v>
      </c>
      <c r="D805" s="374">
        <v>33</v>
      </c>
      <c r="E805" s="258" t="s">
        <v>765</v>
      </c>
      <c r="F805" s="450">
        <f>SUM(F105,F107,F108,F110,F112,F114,F115,F117,F121,F126,F127,F130,F131,F128,F134,F136,F145,F146,F147,F148,F151,F154,F109,F132)</f>
        <v>332500000</v>
      </c>
      <c r="G805" s="20">
        <f>SUM(G105,G107,G108,G110,G112,G114,G115,G117,G121,G126,G127,G128,G130,G131,G134,G136,G145,G146,G147,G148,G151,G154,G109,G132)</f>
        <v>370500000</v>
      </c>
      <c r="H805" s="20"/>
      <c r="I805" s="20"/>
      <c r="J805" s="20"/>
      <c r="K805" s="2"/>
      <c r="L805" s="20"/>
      <c r="M805" s="20"/>
      <c r="N805" s="20">
        <f>SUM(N105,N107,N108,N110,N112,N114,N115,N117,N121,N126,N127,N128,N130,N131,N134,N136,N145,N146,N147,N148,N151,N154,N109,N132)</f>
        <v>38000000</v>
      </c>
      <c r="O805"/>
    </row>
    <row r="806" spans="1:15" x14ac:dyDescent="0.25">
      <c r="A806" s="429"/>
      <c r="B806" s="797"/>
      <c r="C806" s="804"/>
      <c r="D806" s="309">
        <v>1</v>
      </c>
      <c r="E806" s="243" t="s">
        <v>720</v>
      </c>
      <c r="F806" s="452">
        <f>SUM(F67)</f>
        <v>10650000</v>
      </c>
      <c r="G806" s="107">
        <f>SUM(G67)</f>
        <v>9000000</v>
      </c>
      <c r="H806" s="107"/>
      <c r="I806" s="107"/>
      <c r="J806" s="107"/>
      <c r="K806" s="128"/>
      <c r="L806" s="107"/>
      <c r="M806" s="107"/>
      <c r="N806" s="277">
        <f>SUM(N67)</f>
        <v>-1650000</v>
      </c>
      <c r="O806"/>
    </row>
    <row r="807" spans="1:15" x14ac:dyDescent="0.25">
      <c r="A807" s="429"/>
      <c r="B807" s="797"/>
      <c r="C807" s="804"/>
      <c r="D807" s="723">
        <v>0</v>
      </c>
      <c r="E807" s="167" t="s">
        <v>576</v>
      </c>
      <c r="F807" s="450">
        <v>0</v>
      </c>
      <c r="G807" s="20">
        <v>0</v>
      </c>
      <c r="H807" s="20"/>
      <c r="I807" s="20"/>
      <c r="J807" s="20"/>
      <c r="K807" s="2"/>
      <c r="L807" s="20"/>
      <c r="M807" s="20"/>
      <c r="N807" s="20">
        <v>0</v>
      </c>
      <c r="O807"/>
    </row>
    <row r="808" spans="1:15" x14ac:dyDescent="0.25">
      <c r="A808" s="429"/>
      <c r="B808" s="797"/>
      <c r="C808" s="804"/>
      <c r="D808" s="309">
        <v>7</v>
      </c>
      <c r="E808" s="24" t="s">
        <v>543</v>
      </c>
      <c r="F808" s="450">
        <f>SUM(F99,F98,F83,F102,F104,F95,F81)</f>
        <v>103650000</v>
      </c>
      <c r="G808" s="20">
        <f>SUM(G99,G98,G102,G83,G104,G95,G81)</f>
        <v>108950000</v>
      </c>
      <c r="H808" s="20"/>
      <c r="I808" s="20"/>
      <c r="J808" s="20"/>
      <c r="K808" s="2"/>
      <c r="L808" s="20"/>
      <c r="M808" s="20"/>
      <c r="N808" s="20">
        <f>SUM(N99,N98,N102,N83,N104,N95,N81)</f>
        <v>5300000</v>
      </c>
      <c r="O808"/>
    </row>
    <row r="809" spans="1:15" x14ac:dyDescent="0.25">
      <c r="A809" s="429"/>
      <c r="B809" s="436"/>
      <c r="C809" s="568" t="s">
        <v>3096</v>
      </c>
      <c r="D809" s="309">
        <v>9</v>
      </c>
      <c r="E809" s="162" t="s">
        <v>519</v>
      </c>
      <c r="F809" s="450">
        <f>SUM(F84,F101,F103,F90,F92,F93,F100,F48,F96)</f>
        <v>140300000</v>
      </c>
      <c r="G809" s="20">
        <f>SUM(G84,G93,G92,G90,G101,G103,G100,G48,G96)</f>
        <v>150300000</v>
      </c>
      <c r="H809" s="20"/>
      <c r="I809" s="20"/>
      <c r="J809" s="20"/>
      <c r="K809" s="2"/>
      <c r="L809" s="20"/>
      <c r="M809" s="20"/>
      <c r="N809" s="20">
        <f>SUM(N84,N92,N93,N100,N101,N103,N90,N48,N96)</f>
        <v>10000000</v>
      </c>
      <c r="O809"/>
    </row>
    <row r="810" spans="1:15" x14ac:dyDescent="0.25">
      <c r="D810" s="309">
        <v>10</v>
      </c>
      <c r="E810" s="156" t="s">
        <v>454</v>
      </c>
      <c r="F810" s="450">
        <f>SUM(F88,F91,F94,F86,F74,F85,F87,F75,F76,F82)</f>
        <v>143850000</v>
      </c>
      <c r="G810" s="20">
        <f>SUM(G88,G91,G94,G86,G74,G85,G87,G75,G82,G76)</f>
        <v>154450000</v>
      </c>
      <c r="H810" s="20"/>
      <c r="I810" s="20"/>
      <c r="J810" s="20"/>
      <c r="K810" s="2"/>
      <c r="L810" s="20"/>
      <c r="M810" s="20"/>
      <c r="N810" s="20">
        <f>SUM(N88,N91,N94,N86,N74,N85,N87,N75,N76,N82)</f>
        <v>10600000</v>
      </c>
      <c r="O810"/>
    </row>
    <row r="811" spans="1:15" x14ac:dyDescent="0.25">
      <c r="B811" s="411"/>
      <c r="C811" s="558"/>
      <c r="D811" s="309">
        <v>18</v>
      </c>
      <c r="E811" s="153" t="s">
        <v>364</v>
      </c>
      <c r="F811" s="450">
        <f>SUM(F41,F42,F89,F51,F57,F66,F72,F64,F71,F69,F65,F70,F73,F68,F77,F78,F79,F80)</f>
        <v>242600000</v>
      </c>
      <c r="G811" s="20">
        <f>SUM(G41,G42,G89,G51,G57,G66,G72,G64,G71,G69,G65,G70,G73,G68,G77,G78,G79,G80)</f>
        <v>258985000</v>
      </c>
      <c r="H811" s="20"/>
      <c r="I811" s="20"/>
      <c r="J811" s="20"/>
      <c r="K811" s="2"/>
      <c r="L811" s="20"/>
      <c r="M811" s="20"/>
      <c r="N811" s="20">
        <f>SUM(N89,N80,N79,N78,N77,N73,N72,N71,N70,N69,N68,N66,N65,N64,N57,N51,N42,N41)</f>
        <v>16385000</v>
      </c>
      <c r="O811"/>
    </row>
    <row r="812" spans="1:15" x14ac:dyDescent="0.25">
      <c r="B812" s="411"/>
      <c r="C812" s="558"/>
      <c r="D812" s="309">
        <v>18</v>
      </c>
      <c r="E812" s="143" t="s">
        <v>318</v>
      </c>
      <c r="F812" s="450">
        <f>SUM(F37,F47,F54,F59,F49,F52,F53,F55,F58,F43,F46,F50,F45,F60,F61,F62,F63,F56)</f>
        <v>291100000</v>
      </c>
      <c r="G812" s="20">
        <f>SUM(G37,G47,G54,G59,G49,G52,G53,G55,G58,G43,G46,G50,G60,G45,G61:G63,G56)</f>
        <v>312450000</v>
      </c>
      <c r="H812" s="20"/>
      <c r="I812" s="20"/>
      <c r="J812" s="20"/>
      <c r="K812" s="2"/>
      <c r="L812" s="20"/>
      <c r="M812" s="20"/>
      <c r="N812" s="20">
        <f>SUM(N47,N37,N54,N59,N49,N52,N53,N55,N58,N43,N46,N50,N60,N45,N61,N62,N63,N56)</f>
        <v>21350000</v>
      </c>
      <c r="O812"/>
    </row>
    <row r="813" spans="1:15" x14ac:dyDescent="0.25">
      <c r="B813" s="435"/>
      <c r="C813" s="555"/>
      <c r="D813" s="309">
        <v>9</v>
      </c>
      <c r="E813" s="129" t="s">
        <v>243</v>
      </c>
      <c r="F813" s="450">
        <f>F32+F31+F34+F35+F36+F38+F39+F40+F44</f>
        <v>89000000</v>
      </c>
      <c r="G813" s="20">
        <f>G32+G31+G34+G35+G36+G38+G39+G40+G44</f>
        <v>100450000</v>
      </c>
      <c r="H813" s="20"/>
      <c r="I813" s="20"/>
      <c r="J813" s="20"/>
      <c r="K813" s="2"/>
      <c r="L813" s="20"/>
      <c r="M813" s="20"/>
      <c r="N813" s="20">
        <f>SUM(N31:N32,N34:N36,N38:N40,N44)</f>
        <v>11450000</v>
      </c>
      <c r="O813"/>
    </row>
    <row r="814" spans="1:15" x14ac:dyDescent="0.25">
      <c r="A814" s="173"/>
      <c r="B814" s="435"/>
      <c r="C814" s="555"/>
      <c r="D814" s="309">
        <v>7</v>
      </c>
      <c r="E814" s="123" t="s">
        <v>163</v>
      </c>
      <c r="F814" s="450">
        <f>SUM(F26,F19,F25,F28,F30,F33,F29)</f>
        <v>93200000</v>
      </c>
      <c r="G814" s="20">
        <f>SUM(G19,G25,G26,G28,G30,G33,G29)</f>
        <v>103875000</v>
      </c>
      <c r="H814" s="20"/>
      <c r="I814" s="20"/>
      <c r="J814" s="20"/>
      <c r="K814" s="2"/>
      <c r="L814" s="20"/>
      <c r="M814" s="20"/>
      <c r="N814" s="20">
        <f>SUM(N26,N19,N25,N28,N30,N33,N29)</f>
        <v>10675000</v>
      </c>
      <c r="O814"/>
    </row>
    <row r="815" spans="1:15" x14ac:dyDescent="0.25">
      <c r="A815" s="173"/>
      <c r="B815" s="435"/>
      <c r="C815" s="556"/>
      <c r="D815" s="309">
        <v>11</v>
      </c>
      <c r="E815" s="87" t="s">
        <v>160</v>
      </c>
      <c r="F815" s="450">
        <f>F27+F24+F23+F22+F21+F20+F18+F17+F16+F13+F14</f>
        <v>160150000</v>
      </c>
      <c r="G815" s="20">
        <f>G27+G24+G23+G22+G21+G20+G18+G17+G16+G14+G13</f>
        <v>171325000</v>
      </c>
      <c r="H815" s="20"/>
      <c r="I815" s="20"/>
      <c r="J815" s="20"/>
      <c r="K815" s="6"/>
      <c r="L815" s="20"/>
      <c r="M815" s="20"/>
      <c r="N815" s="20">
        <f>G815-F815</f>
        <v>11175000</v>
      </c>
      <c r="O815"/>
    </row>
    <row r="816" spans="1:15" x14ac:dyDescent="0.25">
      <c r="A816" s="173"/>
      <c r="B816" s="435"/>
      <c r="C816" s="555"/>
      <c r="D816" s="309">
        <v>4</v>
      </c>
      <c r="E816" s="88" t="s">
        <v>159</v>
      </c>
      <c r="F816" s="450">
        <f>F15+F12+F11+F10</f>
        <v>67000000</v>
      </c>
      <c r="G816" s="20">
        <f>G15+G12+G11+G10</f>
        <v>72000000</v>
      </c>
      <c r="H816" s="20"/>
      <c r="I816" s="20"/>
      <c r="J816" s="20"/>
      <c r="K816" s="6"/>
      <c r="L816" s="20"/>
      <c r="M816" s="20"/>
      <c r="N816" s="20">
        <f>G816-F816</f>
        <v>5000000</v>
      </c>
      <c r="O816"/>
    </row>
    <row r="817" spans="1:15" x14ac:dyDescent="0.25">
      <c r="A817" s="173"/>
      <c r="B817" s="435"/>
      <c r="C817" s="555"/>
      <c r="D817" s="359">
        <f>SUM(D672:D816)</f>
        <v>643</v>
      </c>
      <c r="E817" s="448" t="s">
        <v>198</v>
      </c>
      <c r="F817" s="352">
        <f>SUM(F10:F668)</f>
        <v>8995875000</v>
      </c>
      <c r="G817" s="85">
        <f>SUM(G10:G668)</f>
        <v>9806150000</v>
      </c>
      <c r="H817" s="85"/>
      <c r="I817" s="85"/>
      <c r="J817" s="85"/>
      <c r="K817" s="52"/>
      <c r="L817" s="85"/>
      <c r="M817" s="85"/>
      <c r="N817" s="85">
        <f>SUM(N672:N816)</f>
        <v>819275000</v>
      </c>
      <c r="O817"/>
    </row>
    <row r="818" spans="1:15" ht="15.75" thickBot="1" x14ac:dyDescent="0.3">
      <c r="A818" s="173"/>
      <c r="B818" s="435"/>
      <c r="C818" s="555"/>
      <c r="K818" s="18"/>
      <c r="N818" s="86" t="s">
        <v>1473</v>
      </c>
      <c r="O818"/>
    </row>
    <row r="819" spans="1:15" ht="15.75" thickBot="1" x14ac:dyDescent="0.3">
      <c r="A819" s="173"/>
      <c r="B819" s="435"/>
      <c r="C819" s="555"/>
      <c r="G819" s="124">
        <f>SUM(G772:G816,G672:G770)</f>
        <v>9472450000</v>
      </c>
      <c r="K819" s="18"/>
      <c r="O819"/>
    </row>
    <row r="820" spans="1:15" ht="15.75" thickBot="1" x14ac:dyDescent="0.3">
      <c r="A820" s="173"/>
      <c r="B820" s="435"/>
      <c r="C820" s="555"/>
      <c r="F820" s="461">
        <f>SUM(F772:F816,F672:F770)</f>
        <v>8653175000</v>
      </c>
      <c r="G820" s="125">
        <f>G819-F820</f>
        <v>819275000</v>
      </c>
      <c r="H820" s="133" t="s">
        <v>3095</v>
      </c>
      <c r="O820"/>
    </row>
    <row r="821" spans="1:15" x14ac:dyDescent="0.25">
      <c r="A821" s="173"/>
      <c r="B821" s="435"/>
      <c r="C821" s="555"/>
      <c r="K821" s="18"/>
      <c r="O821"/>
    </row>
    <row r="822" spans="1:15" x14ac:dyDescent="0.25">
      <c r="A822" s="173"/>
      <c r="B822" s="435"/>
      <c r="C822" s="555"/>
      <c r="K822" s="18"/>
      <c r="L822"/>
      <c r="M822"/>
      <c r="N822"/>
      <c r="O822"/>
    </row>
    <row r="823" spans="1:15" x14ac:dyDescent="0.25">
      <c r="A823" s="173"/>
      <c r="B823" s="435"/>
      <c r="C823" s="555"/>
      <c r="L823"/>
      <c r="M823"/>
      <c r="N823"/>
      <c r="O823"/>
    </row>
    <row r="824" spans="1:15" x14ac:dyDescent="0.25">
      <c r="A824" s="173"/>
      <c r="B824" s="435"/>
      <c r="C824" s="555"/>
      <c r="L824"/>
      <c r="M824"/>
      <c r="N824"/>
      <c r="O824"/>
    </row>
    <row r="825" spans="1:15" x14ac:dyDescent="0.25">
      <c r="A825" s="173"/>
      <c r="B825" s="435"/>
      <c r="C825" s="555"/>
      <c r="L825"/>
      <c r="M825"/>
      <c r="N825"/>
      <c r="O825"/>
    </row>
    <row r="826" spans="1:15" x14ac:dyDescent="0.25">
      <c r="A826" s="173"/>
      <c r="B826" s="435"/>
      <c r="C826" s="555"/>
      <c r="L826"/>
      <c r="M826"/>
      <c r="N826"/>
      <c r="O826"/>
    </row>
    <row r="827" spans="1:15" x14ac:dyDescent="0.25">
      <c r="A827" s="173"/>
      <c r="B827" s="435"/>
      <c r="C827" s="555"/>
      <c r="L827"/>
      <c r="M827"/>
      <c r="N827"/>
      <c r="O827"/>
    </row>
    <row r="828" spans="1:15" x14ac:dyDescent="0.25">
      <c r="A828" s="173"/>
      <c r="B828" s="435"/>
      <c r="C828" s="555"/>
      <c r="L828"/>
      <c r="M828"/>
      <c r="N828"/>
      <c r="O828"/>
    </row>
    <row r="829" spans="1:15" x14ac:dyDescent="0.25">
      <c r="A829" s="173"/>
      <c r="B829" s="435"/>
      <c r="C829" s="555"/>
      <c r="L829"/>
      <c r="M829"/>
      <c r="N829"/>
      <c r="O829"/>
    </row>
    <row r="830" spans="1:15" x14ac:dyDescent="0.25">
      <c r="A830" s="173"/>
      <c r="B830" s="435"/>
      <c r="C830" s="555"/>
      <c r="L830"/>
      <c r="M830"/>
      <c r="N830"/>
      <c r="O830"/>
    </row>
    <row r="831" spans="1:15" x14ac:dyDescent="0.25">
      <c r="A831" s="173"/>
      <c r="B831" s="435"/>
      <c r="C831" s="555"/>
      <c r="L831"/>
      <c r="M831"/>
      <c r="N831"/>
      <c r="O831"/>
    </row>
    <row r="832" spans="1:15" x14ac:dyDescent="0.25">
      <c r="A832" s="173"/>
      <c r="B832" s="435"/>
      <c r="C832" s="555"/>
      <c r="L832"/>
      <c r="M832"/>
      <c r="N832"/>
      <c r="O832"/>
    </row>
    <row r="833" spans="1:15" x14ac:dyDescent="0.25">
      <c r="A833" s="173"/>
      <c r="B833" s="435"/>
      <c r="C833" s="555"/>
      <c r="L833"/>
      <c r="M833"/>
      <c r="N833"/>
      <c r="O833"/>
    </row>
    <row r="834" spans="1:15" x14ac:dyDescent="0.25">
      <c r="A834" s="173"/>
      <c r="B834" s="435"/>
      <c r="C834" s="555"/>
      <c r="L834"/>
      <c r="M834"/>
      <c r="N834"/>
      <c r="O834"/>
    </row>
    <row r="835" spans="1:15" x14ac:dyDescent="0.25">
      <c r="A835" s="173"/>
      <c r="B835" s="435"/>
      <c r="C835" s="555"/>
      <c r="L835"/>
      <c r="M835"/>
      <c r="N835"/>
      <c r="O835"/>
    </row>
    <row r="836" spans="1:15" x14ac:dyDescent="0.25">
      <c r="A836" s="173"/>
      <c r="B836" s="435"/>
      <c r="C836" s="555"/>
      <c r="L836"/>
      <c r="M836"/>
      <c r="N836"/>
      <c r="O836"/>
    </row>
    <row r="837" spans="1:15" x14ac:dyDescent="0.25">
      <c r="A837" s="173"/>
      <c r="B837" s="435"/>
      <c r="C837" s="555"/>
      <c r="L837"/>
      <c r="M837"/>
      <c r="N837"/>
      <c r="O837"/>
    </row>
    <row r="838" spans="1:15" x14ac:dyDescent="0.25">
      <c r="A838" s="173"/>
      <c r="B838" s="435"/>
      <c r="C838" s="555"/>
      <c r="D838" s="13"/>
      <c r="E838" s="13"/>
      <c r="F838" s="13"/>
      <c r="G838"/>
      <c r="H838"/>
      <c r="I838"/>
      <c r="J838"/>
      <c r="L838"/>
      <c r="M838"/>
      <c r="N838"/>
      <c r="O838"/>
    </row>
    <row r="839" spans="1:15" x14ac:dyDescent="0.25">
      <c r="A839" s="173"/>
      <c r="B839" s="435"/>
      <c r="C839" s="555"/>
      <c r="D839" s="13"/>
      <c r="E839" s="13"/>
      <c r="F839" s="13"/>
      <c r="G839"/>
      <c r="H839"/>
      <c r="I839"/>
      <c r="J839"/>
      <c r="L839"/>
      <c r="M839"/>
      <c r="N839"/>
      <c r="O839"/>
    </row>
    <row r="840" spans="1:15" x14ac:dyDescent="0.25">
      <c r="A840" s="173"/>
      <c r="B840" s="435"/>
      <c r="C840" s="555"/>
      <c r="D840" s="13"/>
      <c r="E840" s="13"/>
      <c r="F840" s="13"/>
      <c r="G840"/>
      <c r="H840"/>
      <c r="I840"/>
      <c r="J840"/>
      <c r="L840"/>
      <c r="M840"/>
      <c r="N840"/>
      <c r="O840"/>
    </row>
    <row r="841" spans="1:15" x14ac:dyDescent="0.25">
      <c r="A841" s="173"/>
      <c r="B841" s="435"/>
      <c r="C841" s="555"/>
      <c r="D841" s="13"/>
      <c r="E841" s="13"/>
      <c r="F841" s="13"/>
      <c r="G841"/>
      <c r="H841"/>
      <c r="I841"/>
      <c r="J841"/>
      <c r="L841"/>
      <c r="M841"/>
      <c r="N841"/>
      <c r="O841"/>
    </row>
    <row r="842" spans="1:15" x14ac:dyDescent="0.25">
      <c r="A842" s="173"/>
      <c r="B842" s="435"/>
      <c r="C842" s="555"/>
      <c r="D842" s="13"/>
      <c r="E842" s="13"/>
      <c r="F842" s="13"/>
      <c r="G842"/>
      <c r="H842"/>
      <c r="I842"/>
      <c r="J842"/>
      <c r="L842"/>
      <c r="M842"/>
      <c r="N842"/>
      <c r="O842"/>
    </row>
    <row r="843" spans="1:15" x14ac:dyDescent="0.25">
      <c r="A843" s="173"/>
      <c r="B843" s="435"/>
      <c r="C843" s="555"/>
      <c r="D843" s="13"/>
      <c r="E843" s="13"/>
      <c r="F843" s="13"/>
      <c r="G843"/>
      <c r="H843"/>
      <c r="I843"/>
      <c r="J843"/>
      <c r="L843"/>
      <c r="M843"/>
      <c r="N843"/>
      <c r="O843"/>
    </row>
    <row r="844" spans="1:15" x14ac:dyDescent="0.25">
      <c r="A844" s="173"/>
      <c r="B844" s="435"/>
      <c r="C844" s="555"/>
      <c r="D844" s="13"/>
      <c r="E844" s="13"/>
      <c r="F844" s="320"/>
      <c r="G844"/>
      <c r="H844"/>
      <c r="I844"/>
      <c r="J844"/>
      <c r="L844"/>
      <c r="M844"/>
      <c r="N844"/>
      <c r="O844"/>
    </row>
    <row r="845" spans="1:15" x14ac:dyDescent="0.25">
      <c r="A845" s="173"/>
      <c r="B845" s="435"/>
      <c r="C845" s="555"/>
      <c r="D845" s="13"/>
      <c r="E845" s="13"/>
      <c r="F845" s="320"/>
      <c r="G845"/>
      <c r="H845"/>
      <c r="I845"/>
      <c r="J845"/>
      <c r="L845"/>
      <c r="M845"/>
      <c r="N845"/>
      <c r="O845"/>
    </row>
    <row r="846" spans="1:15" x14ac:dyDescent="0.25">
      <c r="A846" s="173"/>
      <c r="B846" s="435"/>
      <c r="C846" s="555"/>
      <c r="D846" s="13"/>
      <c r="E846" s="13"/>
      <c r="F846" s="320"/>
      <c r="G846"/>
      <c r="H846"/>
      <c r="I846"/>
      <c r="J846"/>
      <c r="L846"/>
      <c r="M846"/>
      <c r="N846"/>
      <c r="O846"/>
    </row>
    <row r="847" spans="1:15" x14ac:dyDescent="0.25">
      <c r="A847" s="173"/>
      <c r="B847" s="435"/>
      <c r="C847" s="555"/>
      <c r="D847" s="13"/>
      <c r="E847" s="13"/>
      <c r="F847" s="320"/>
      <c r="G847"/>
      <c r="H847"/>
      <c r="I847"/>
      <c r="J847"/>
      <c r="L847"/>
      <c r="M847"/>
      <c r="N847"/>
      <c r="O847"/>
    </row>
    <row r="848" spans="1:15" x14ac:dyDescent="0.25">
      <c r="A848" s="173"/>
      <c r="B848" s="435"/>
      <c r="C848" s="555"/>
      <c r="D848" s="13"/>
      <c r="E848" s="13"/>
      <c r="F848" s="13"/>
      <c r="G848"/>
      <c r="H848"/>
      <c r="I848"/>
      <c r="J848"/>
      <c r="L848"/>
      <c r="M848"/>
      <c r="N848"/>
      <c r="O848"/>
    </row>
    <row r="849" spans="1:15" x14ac:dyDescent="0.25">
      <c r="A849" s="173"/>
      <c r="B849" s="435"/>
      <c r="C849" s="555"/>
      <c r="D849" s="13"/>
      <c r="E849" s="13"/>
      <c r="F849" s="13"/>
      <c r="G849"/>
      <c r="H849"/>
      <c r="I849"/>
      <c r="J849"/>
      <c r="L849"/>
      <c r="M849"/>
      <c r="N849"/>
      <c r="O849"/>
    </row>
    <row r="850" spans="1:15" x14ac:dyDescent="0.25">
      <c r="A850" s="173"/>
      <c r="B850" s="435"/>
      <c r="C850" s="555"/>
      <c r="D850" s="13"/>
      <c r="E850" s="13"/>
      <c r="F850" s="13"/>
      <c r="G850"/>
      <c r="H850"/>
      <c r="I850"/>
      <c r="J850"/>
      <c r="L850"/>
      <c r="M850"/>
      <c r="N850"/>
      <c r="O850"/>
    </row>
    <row r="851" spans="1:15" x14ac:dyDescent="0.25">
      <c r="A851" s="173"/>
      <c r="B851" s="435"/>
      <c r="C851" s="555"/>
      <c r="D851" s="13"/>
      <c r="E851" s="13"/>
      <c r="F851" s="13"/>
      <c r="G851"/>
      <c r="H851"/>
      <c r="I851"/>
      <c r="J851"/>
      <c r="L851"/>
      <c r="M851"/>
      <c r="N851"/>
      <c r="O851"/>
    </row>
    <row r="852" spans="1:15" x14ac:dyDescent="0.25">
      <c r="A852" s="173"/>
      <c r="B852" s="435"/>
      <c r="C852" s="555"/>
      <c r="D852" s="13"/>
      <c r="E852" s="13"/>
      <c r="F852" s="13"/>
      <c r="G852"/>
      <c r="H852"/>
      <c r="I852"/>
      <c r="J852"/>
      <c r="L852"/>
      <c r="M852"/>
      <c r="N852"/>
      <c r="O852"/>
    </row>
    <row r="853" spans="1:15" x14ac:dyDescent="0.25">
      <c r="A853" s="173"/>
      <c r="B853" s="435"/>
      <c r="C853" s="555"/>
      <c r="D853" s="13"/>
      <c r="E853" s="13"/>
      <c r="F853" s="13"/>
      <c r="G853"/>
      <c r="H853"/>
      <c r="I853"/>
      <c r="J853"/>
      <c r="L853"/>
      <c r="M853"/>
      <c r="N853"/>
      <c r="O853"/>
    </row>
    <row r="854" spans="1:15" x14ac:dyDescent="0.25">
      <c r="A854" s="173"/>
      <c r="B854" s="435"/>
      <c r="C854" s="555"/>
      <c r="D854" s="13"/>
      <c r="E854" s="13"/>
      <c r="F854" s="13"/>
      <c r="G854"/>
      <c r="H854"/>
      <c r="I854"/>
      <c r="J854"/>
      <c r="L854"/>
      <c r="M854"/>
      <c r="N854"/>
      <c r="O854"/>
    </row>
    <row r="855" spans="1:15" x14ac:dyDescent="0.25">
      <c r="A855" s="173"/>
      <c r="B855" s="435"/>
      <c r="C855" s="555"/>
      <c r="D855" s="13"/>
      <c r="E855" s="13"/>
      <c r="F855" s="13"/>
      <c r="G855"/>
      <c r="H855"/>
      <c r="I855"/>
      <c r="J855"/>
      <c r="L855"/>
      <c r="M855"/>
      <c r="N855"/>
      <c r="O855"/>
    </row>
    <row r="856" spans="1:15" x14ac:dyDescent="0.25">
      <c r="A856" s="173"/>
      <c r="B856" s="435"/>
      <c r="C856" s="555"/>
      <c r="D856" s="13"/>
      <c r="E856" s="13"/>
      <c r="F856" s="13"/>
      <c r="G856"/>
      <c r="H856"/>
      <c r="I856"/>
      <c r="J856"/>
      <c r="L856"/>
      <c r="M856"/>
      <c r="N856"/>
      <c r="O856"/>
    </row>
    <row r="857" spans="1:15" x14ac:dyDescent="0.25">
      <c r="A857" s="173"/>
      <c r="B857" s="435"/>
      <c r="C857" s="555"/>
      <c r="D857" s="13"/>
      <c r="E857" s="13"/>
      <c r="F857" s="13"/>
      <c r="G857"/>
      <c r="H857"/>
      <c r="I857"/>
      <c r="J857"/>
      <c r="L857"/>
      <c r="M857"/>
      <c r="N857"/>
      <c r="O857"/>
    </row>
    <row r="858" spans="1:15" x14ac:dyDescent="0.25">
      <c r="A858" s="173"/>
      <c r="B858" s="435"/>
      <c r="C858" s="555"/>
      <c r="D858" s="13"/>
      <c r="E858" s="13"/>
      <c r="F858" s="13"/>
      <c r="G858"/>
      <c r="H858"/>
      <c r="I858"/>
      <c r="J858"/>
      <c r="L858"/>
      <c r="M858"/>
      <c r="N858"/>
      <c r="O858"/>
    </row>
    <row r="859" spans="1:15" x14ac:dyDescent="0.25">
      <c r="A859" s="173"/>
      <c r="B859" s="435"/>
      <c r="C859" s="555"/>
      <c r="D859" s="13"/>
      <c r="E859" s="13"/>
      <c r="F859" s="13"/>
      <c r="G859"/>
      <c r="H859"/>
      <c r="I859"/>
      <c r="J859"/>
      <c r="L859"/>
      <c r="M859"/>
      <c r="N859"/>
      <c r="O859"/>
    </row>
    <row r="860" spans="1:15" x14ac:dyDescent="0.25">
      <c r="A860" s="173"/>
      <c r="B860" s="435"/>
      <c r="C860" s="555"/>
      <c r="D860" s="13"/>
      <c r="E860" s="13"/>
      <c r="F860" s="13"/>
      <c r="G860"/>
      <c r="H860"/>
      <c r="I860"/>
      <c r="J860"/>
      <c r="L860"/>
      <c r="M860"/>
      <c r="N860"/>
      <c r="O860"/>
    </row>
    <row r="861" spans="1:15" x14ac:dyDescent="0.25">
      <c r="A861" s="173"/>
      <c r="B861" s="435"/>
      <c r="C861" s="555"/>
      <c r="D861" s="13"/>
      <c r="E861" s="13"/>
      <c r="F861" s="13"/>
      <c r="G861"/>
      <c r="H861"/>
      <c r="I861"/>
      <c r="J861"/>
      <c r="L861"/>
      <c r="M861"/>
      <c r="N861"/>
      <c r="O861"/>
    </row>
    <row r="862" spans="1:15" x14ac:dyDescent="0.25">
      <c r="A862" s="173"/>
      <c r="B862" s="435"/>
      <c r="C862" s="555"/>
      <c r="D862" s="13"/>
      <c r="E862" s="13"/>
      <c r="F862" s="13"/>
      <c r="G862"/>
      <c r="H862"/>
      <c r="I862"/>
      <c r="J862"/>
      <c r="L862"/>
      <c r="M862"/>
      <c r="N862"/>
      <c r="O862"/>
    </row>
    <row r="863" spans="1:15" x14ac:dyDescent="0.25">
      <c r="A863" s="173"/>
      <c r="B863" s="435"/>
      <c r="C863" s="555"/>
      <c r="D863" s="13"/>
      <c r="E863" s="13"/>
      <c r="F863" s="13"/>
      <c r="G863"/>
      <c r="H863"/>
      <c r="I863"/>
      <c r="J863"/>
      <c r="L863"/>
      <c r="M863"/>
      <c r="N863"/>
      <c r="O863"/>
    </row>
    <row r="864" spans="1:15" x14ac:dyDescent="0.25">
      <c r="A864" s="173"/>
      <c r="B864" s="435"/>
      <c r="C864" s="555"/>
      <c r="D864" s="13"/>
      <c r="E864" s="13"/>
      <c r="F864" s="13"/>
      <c r="G864"/>
      <c r="H864"/>
      <c r="I864"/>
      <c r="J864"/>
      <c r="L864"/>
      <c r="M864"/>
      <c r="N864"/>
      <c r="O864"/>
    </row>
    <row r="865" spans="1:15" x14ac:dyDescent="0.25">
      <c r="A865" s="173"/>
      <c r="B865" s="435"/>
      <c r="C865" s="555"/>
      <c r="D865" s="13"/>
      <c r="E865" s="13"/>
      <c r="F865" s="13"/>
      <c r="G865"/>
      <c r="H865"/>
      <c r="I865"/>
      <c r="J865"/>
      <c r="L865"/>
      <c r="M865"/>
      <c r="N865"/>
      <c r="O865"/>
    </row>
    <row r="866" spans="1:15" x14ac:dyDescent="0.25">
      <c r="A866" s="173"/>
      <c r="B866" s="435"/>
      <c r="C866" s="555"/>
      <c r="D866" s="13"/>
      <c r="E866" s="13"/>
      <c r="F866" s="13"/>
      <c r="G866"/>
      <c r="H866"/>
      <c r="I866"/>
      <c r="J866"/>
      <c r="L866"/>
      <c r="M866"/>
      <c r="N866"/>
      <c r="O866"/>
    </row>
    <row r="867" spans="1:15" x14ac:dyDescent="0.25">
      <c r="A867" s="173"/>
      <c r="B867" s="435"/>
      <c r="C867" s="555"/>
      <c r="D867" s="13"/>
      <c r="E867" s="13"/>
      <c r="F867" s="13"/>
      <c r="G867"/>
      <c r="H867"/>
      <c r="I867"/>
      <c r="J867"/>
      <c r="L867"/>
      <c r="M867"/>
      <c r="N867"/>
      <c r="O867"/>
    </row>
    <row r="868" spans="1:15" x14ac:dyDescent="0.25">
      <c r="A868" s="173"/>
      <c r="B868" s="435"/>
      <c r="C868" s="555"/>
      <c r="D868" s="13"/>
      <c r="E868" s="13"/>
      <c r="F868" s="13"/>
      <c r="G868"/>
      <c r="H868"/>
      <c r="I868"/>
      <c r="J868"/>
      <c r="L868"/>
      <c r="M868"/>
      <c r="N868"/>
    </row>
    <row r="869" spans="1:15" x14ac:dyDescent="0.25">
      <c r="A869" s="173"/>
      <c r="B869" s="435"/>
      <c r="C869" s="555"/>
      <c r="D869" s="13"/>
      <c r="E869" s="13"/>
      <c r="F869" s="13"/>
      <c r="G869"/>
      <c r="H869"/>
      <c r="I869"/>
      <c r="J869"/>
      <c r="L869"/>
      <c r="M869"/>
      <c r="N869"/>
    </row>
    <row r="870" spans="1:15" x14ac:dyDescent="0.25">
      <c r="A870" s="173"/>
      <c r="B870" s="435"/>
      <c r="C870" s="555"/>
      <c r="D870" s="13"/>
      <c r="E870" s="13"/>
      <c r="F870" s="13"/>
      <c r="G870"/>
      <c r="H870"/>
      <c r="I870"/>
      <c r="J870"/>
      <c r="L870"/>
      <c r="M870"/>
      <c r="N870"/>
    </row>
    <row r="871" spans="1:15" x14ac:dyDescent="0.25">
      <c r="A871" s="173"/>
      <c r="B871" s="435"/>
      <c r="C871" s="555"/>
      <c r="D871" s="13"/>
      <c r="E871" s="13"/>
      <c r="F871" s="13"/>
      <c r="G871"/>
      <c r="H871"/>
      <c r="I871"/>
      <c r="J871"/>
      <c r="L871"/>
      <c r="M871"/>
      <c r="N871"/>
    </row>
    <row r="872" spans="1:15" x14ac:dyDescent="0.25">
      <c r="A872" s="173"/>
      <c r="B872" s="435"/>
      <c r="C872" s="555"/>
      <c r="D872" s="13"/>
      <c r="E872" s="13"/>
      <c r="F872" s="13"/>
      <c r="G872"/>
      <c r="H872"/>
      <c r="I872"/>
      <c r="J872"/>
      <c r="L872"/>
      <c r="M872"/>
      <c r="N872"/>
    </row>
    <row r="873" spans="1:15" x14ac:dyDescent="0.25">
      <c r="A873" s="173"/>
      <c r="B873" s="435"/>
      <c r="C873" s="555"/>
      <c r="D873" s="13"/>
      <c r="E873" s="13"/>
      <c r="F873" s="13"/>
      <c r="G873"/>
      <c r="H873"/>
      <c r="I873"/>
      <c r="J873"/>
      <c r="L873"/>
      <c r="M873"/>
      <c r="N873"/>
    </row>
    <row r="874" spans="1:15" x14ac:dyDescent="0.25">
      <c r="A874" s="173"/>
      <c r="B874" s="435"/>
      <c r="C874" s="555"/>
      <c r="D874" s="13"/>
      <c r="E874" s="13"/>
      <c r="F874" s="13"/>
      <c r="G874"/>
      <c r="H874"/>
      <c r="I874"/>
      <c r="J874"/>
      <c r="L874"/>
      <c r="M874"/>
      <c r="N874"/>
    </row>
    <row r="875" spans="1:15" x14ac:dyDescent="0.25">
      <c r="A875" s="173"/>
      <c r="B875" s="435"/>
      <c r="C875" s="555"/>
      <c r="D875" s="13"/>
      <c r="E875" s="13"/>
      <c r="F875" s="13"/>
      <c r="G875"/>
      <c r="H875"/>
      <c r="I875"/>
      <c r="J875"/>
      <c r="L875"/>
      <c r="M875"/>
      <c r="N875"/>
    </row>
    <row r="876" spans="1:15" x14ac:dyDescent="0.25">
      <c r="A876" s="173"/>
      <c r="B876" s="435"/>
      <c r="C876" s="555"/>
      <c r="D876" s="13"/>
      <c r="E876" s="13"/>
      <c r="F876" s="13"/>
      <c r="G876"/>
      <c r="H876"/>
      <c r="I876"/>
      <c r="J876"/>
      <c r="L876"/>
      <c r="M876"/>
      <c r="N876"/>
    </row>
    <row r="877" spans="1:15" x14ac:dyDescent="0.25">
      <c r="B877" s="435"/>
      <c r="C877" s="557"/>
      <c r="D877" s="13"/>
      <c r="E877" s="13"/>
      <c r="F877" s="13"/>
      <c r="G877"/>
      <c r="H877"/>
      <c r="I877"/>
      <c r="J877"/>
      <c r="L877"/>
      <c r="M877"/>
      <c r="N877"/>
    </row>
    <row r="878" spans="1:15" x14ac:dyDescent="0.25">
      <c r="B878" s="435"/>
      <c r="C878" s="557"/>
      <c r="D878" s="13"/>
      <c r="E878" s="13"/>
      <c r="F878" s="13"/>
      <c r="G878"/>
      <c r="H878"/>
      <c r="I878"/>
      <c r="J878"/>
      <c r="L878"/>
      <c r="M878"/>
      <c r="N878"/>
    </row>
    <row r="879" spans="1:15" x14ac:dyDescent="0.25">
      <c r="D879" s="13"/>
      <c r="E879" s="13"/>
      <c r="F879" s="13"/>
      <c r="G879"/>
      <c r="H879"/>
      <c r="I879"/>
      <c r="J879"/>
      <c r="L879"/>
      <c r="M879"/>
      <c r="N879"/>
    </row>
    <row r="880" spans="1:15" x14ac:dyDescent="0.25">
      <c r="D880" s="13"/>
      <c r="E880" s="13"/>
      <c r="F880" s="13"/>
      <c r="G880"/>
      <c r="H880"/>
      <c r="I880"/>
      <c r="J880"/>
      <c r="L880"/>
      <c r="M880"/>
      <c r="N880"/>
    </row>
    <row r="881" spans="4:14" x14ac:dyDescent="0.25">
      <c r="D881" s="13"/>
      <c r="E881" s="13"/>
      <c r="F881" s="13"/>
      <c r="G881"/>
      <c r="H881"/>
      <c r="I881"/>
      <c r="J881"/>
      <c r="L881"/>
      <c r="M881"/>
      <c r="N881"/>
    </row>
    <row r="882" spans="4:14" x14ac:dyDescent="0.25">
      <c r="D882" s="13"/>
      <c r="E882" s="13"/>
      <c r="F882" s="13"/>
      <c r="G882"/>
      <c r="H882"/>
      <c r="I882"/>
      <c r="J882"/>
      <c r="L882"/>
      <c r="M882"/>
      <c r="N882"/>
    </row>
    <row r="883" spans="4:14" x14ac:dyDescent="0.25">
      <c r="D883" s="13"/>
      <c r="E883" s="13"/>
      <c r="F883" s="13"/>
      <c r="G883"/>
      <c r="H883"/>
      <c r="I883"/>
      <c r="J883"/>
      <c r="L883"/>
      <c r="M883"/>
      <c r="N883"/>
    </row>
    <row r="884" spans="4:14" x14ac:dyDescent="0.25">
      <c r="D884" s="13"/>
      <c r="E884" s="13"/>
      <c r="F884" s="13"/>
      <c r="G884"/>
      <c r="H884"/>
      <c r="I884"/>
      <c r="J884"/>
      <c r="L884"/>
      <c r="M884"/>
      <c r="N884"/>
    </row>
  </sheetData>
  <autoFilter ref="A9:O873">
    <filterColumn colId="14">
      <filters>
        <filter val="::"/>
      </filters>
    </filterColumn>
    <sortState ref="A224:O224">
      <sortCondition ref="O9:O245"/>
    </sortState>
  </autoFilter>
  <mergeCells count="38">
    <mergeCell ref="C684:C687"/>
    <mergeCell ref="C680:C683"/>
    <mergeCell ref="C676:C679"/>
    <mergeCell ref="C672:C675"/>
    <mergeCell ref="B672:B675"/>
    <mergeCell ref="B676:B723"/>
    <mergeCell ref="C692:C695"/>
    <mergeCell ref="C696:C699"/>
    <mergeCell ref="C700:C703"/>
    <mergeCell ref="C708:C711"/>
    <mergeCell ref="C688:C691"/>
    <mergeCell ref="C704:C707"/>
    <mergeCell ref="C712:C715"/>
    <mergeCell ref="C720:C723"/>
    <mergeCell ref="C765:C768"/>
    <mergeCell ref="C716:C719"/>
    <mergeCell ref="C756:C759"/>
    <mergeCell ref="C748:C751"/>
    <mergeCell ref="C752:C755"/>
    <mergeCell ref="C736:C739"/>
    <mergeCell ref="C744:C747"/>
    <mergeCell ref="C740:C743"/>
    <mergeCell ref="B772:B808"/>
    <mergeCell ref="C789:C792"/>
    <mergeCell ref="C785:C788"/>
    <mergeCell ref="C781:C784"/>
    <mergeCell ref="C777:C780"/>
    <mergeCell ref="C773:C776"/>
    <mergeCell ref="C769:C772"/>
    <mergeCell ref="C805:C808"/>
    <mergeCell ref="C801:C804"/>
    <mergeCell ref="C797:C800"/>
    <mergeCell ref="C793:C796"/>
    <mergeCell ref="B724:B771"/>
    <mergeCell ref="C732:C735"/>
    <mergeCell ref="C760:C764"/>
    <mergeCell ref="C728:C731"/>
    <mergeCell ref="C724:C727"/>
  </mergeCells>
  <phoneticPr fontId="3" type="noConversion"/>
  <pageMargins left="0.7" right="0.7" top="0.75" bottom="0.75" header="0.3" footer="0.3"/>
  <pageSetup paperSize="9" orientation="portrait" horizontalDpi="4294967293" r:id="rId1"/>
  <ignoredErrors>
    <ignoredError sqref="D78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V1110"/>
  <sheetViews>
    <sheetView topLeftCell="A1062" zoomScaleNormal="100" workbookViewId="0">
      <selection activeCell="M1086" sqref="M1086"/>
    </sheetView>
  </sheetViews>
  <sheetFormatPr baseColWidth="10" defaultRowHeight="15" x14ac:dyDescent="0.25"/>
  <cols>
    <col min="1" max="1" width="13" style="173" bestFit="1" customWidth="1"/>
    <col min="2" max="2" width="37.5703125" style="173" bestFit="1" customWidth="1"/>
    <col min="3" max="3" width="12.7109375" style="173" bestFit="1" customWidth="1"/>
    <col min="4" max="4" width="20.28515625" style="173" bestFit="1" customWidth="1"/>
    <col min="5" max="5" width="32" style="172" customWidth="1"/>
    <col min="6" max="6" width="34.140625" style="168" bestFit="1" customWidth="1"/>
    <col min="7" max="7" width="38.28515625" style="168" bestFit="1" customWidth="1"/>
    <col min="8" max="8" width="18.85546875" style="209" bestFit="1" customWidth="1"/>
    <col min="9" max="9" width="51.28515625" style="170" bestFit="1" customWidth="1"/>
    <col min="10" max="10" width="26.85546875" style="148" bestFit="1" customWidth="1"/>
    <col min="11" max="11" width="51.42578125" style="246" bestFit="1" customWidth="1"/>
    <col min="12" max="12" width="19" style="171" bestFit="1" customWidth="1"/>
    <col min="13" max="13" width="18.42578125" style="174" bestFit="1" customWidth="1"/>
    <col min="14" max="16384" width="11.42578125" style="13"/>
  </cols>
  <sheetData>
    <row r="1" spans="1:13" ht="15.75" thickBot="1" x14ac:dyDescent="0.3">
      <c r="A1" s="171"/>
      <c r="H1" s="169"/>
    </row>
    <row r="2" spans="1:13" x14ac:dyDescent="0.25">
      <c r="F2" s="175"/>
      <c r="G2" s="175"/>
      <c r="H2" s="176"/>
      <c r="I2" s="869" t="s">
        <v>675</v>
      </c>
      <c r="J2" s="870"/>
      <c r="K2" s="870"/>
      <c r="L2" s="871"/>
    </row>
    <row r="3" spans="1:13" ht="15.75" thickBot="1" x14ac:dyDescent="0.3">
      <c r="F3" s="175"/>
      <c r="G3" s="175"/>
      <c r="H3" s="176"/>
      <c r="I3" s="872"/>
      <c r="J3" s="873"/>
      <c r="K3" s="873"/>
      <c r="L3" s="874"/>
    </row>
    <row r="4" spans="1:13" x14ac:dyDescent="0.25">
      <c r="A4" s="867" t="s">
        <v>578</v>
      </c>
      <c r="B4" s="868"/>
      <c r="C4" s="867" t="s">
        <v>579</v>
      </c>
      <c r="D4" s="868"/>
      <c r="H4" s="169"/>
    </row>
    <row r="5" spans="1:13" s="173" customFormat="1" x14ac:dyDescent="0.25">
      <c r="A5" s="149" t="s">
        <v>1864</v>
      </c>
      <c r="B5" s="177" t="s">
        <v>582</v>
      </c>
      <c r="C5" s="149" t="s">
        <v>1865</v>
      </c>
      <c r="D5" s="149" t="s">
        <v>1866</v>
      </c>
      <c r="E5" s="149" t="s">
        <v>581</v>
      </c>
      <c r="F5" s="177" t="s">
        <v>50</v>
      </c>
      <c r="G5" s="177" t="s">
        <v>51</v>
      </c>
      <c r="H5" s="178" t="s">
        <v>49</v>
      </c>
      <c r="I5" s="179" t="s">
        <v>52</v>
      </c>
      <c r="J5" s="149" t="s">
        <v>53</v>
      </c>
      <c r="K5" s="180" t="s">
        <v>1867</v>
      </c>
      <c r="L5" s="181" t="s">
        <v>580</v>
      </c>
      <c r="M5" s="182" t="s">
        <v>583</v>
      </c>
    </row>
    <row r="6" spans="1:13" hidden="1" x14ac:dyDescent="0.25">
      <c r="A6" s="191"/>
      <c r="B6" s="319" t="s">
        <v>725</v>
      </c>
      <c r="C6" s="191">
        <v>107</v>
      </c>
      <c r="D6" s="191"/>
      <c r="E6" s="190" t="s">
        <v>724</v>
      </c>
      <c r="F6" s="183" t="s">
        <v>78</v>
      </c>
      <c r="G6" s="183" t="s">
        <v>721</v>
      </c>
      <c r="H6" s="184">
        <v>101252079754</v>
      </c>
      <c r="I6" s="185" t="s">
        <v>722</v>
      </c>
      <c r="J6" s="146" t="s">
        <v>723</v>
      </c>
      <c r="K6" s="247"/>
      <c r="L6" s="186">
        <v>43895</v>
      </c>
      <c r="M6" s="192">
        <v>2000000</v>
      </c>
    </row>
    <row r="7" spans="1:13" hidden="1" x14ac:dyDescent="0.25">
      <c r="A7" s="146">
        <v>1</v>
      </c>
      <c r="B7" s="146" t="s">
        <v>154</v>
      </c>
      <c r="C7" s="146">
        <v>1</v>
      </c>
      <c r="D7" s="146" t="s">
        <v>586</v>
      </c>
      <c r="E7" s="187" t="s">
        <v>585</v>
      </c>
      <c r="F7" s="183" t="s">
        <v>54</v>
      </c>
      <c r="G7" s="183" t="s">
        <v>55</v>
      </c>
      <c r="H7" s="184">
        <v>515011020120</v>
      </c>
      <c r="I7" s="185" t="s">
        <v>56</v>
      </c>
      <c r="J7" s="146" t="s">
        <v>584</v>
      </c>
      <c r="K7" s="247"/>
      <c r="L7" s="186">
        <v>43939</v>
      </c>
      <c r="M7" s="188">
        <f>23000000/5</f>
        <v>4600000</v>
      </c>
    </row>
    <row r="8" spans="1:13" hidden="1" x14ac:dyDescent="0.25">
      <c r="A8" s="191">
        <v>2</v>
      </c>
      <c r="B8" s="344" t="s">
        <v>155</v>
      </c>
      <c r="C8" s="146">
        <v>2</v>
      </c>
      <c r="D8" s="191" t="s">
        <v>586</v>
      </c>
      <c r="E8" s="190" t="s">
        <v>587</v>
      </c>
      <c r="F8" s="183" t="s">
        <v>57</v>
      </c>
      <c r="G8" s="183" t="s">
        <v>58</v>
      </c>
      <c r="H8" s="184">
        <v>102031021943</v>
      </c>
      <c r="I8" s="185" t="s">
        <v>59</v>
      </c>
      <c r="J8" s="146"/>
      <c r="K8" s="247"/>
      <c r="L8" s="186">
        <v>43939</v>
      </c>
      <c r="M8" s="192">
        <f>16750000/5</f>
        <v>3350000</v>
      </c>
    </row>
    <row r="9" spans="1:13" hidden="1" x14ac:dyDescent="0.25">
      <c r="A9" s="191">
        <v>3</v>
      </c>
      <c r="B9" s="344" t="s">
        <v>156</v>
      </c>
      <c r="C9" s="194">
        <v>3</v>
      </c>
      <c r="D9" s="191"/>
      <c r="E9" s="190" t="s">
        <v>587</v>
      </c>
      <c r="F9" s="183" t="s">
        <v>60</v>
      </c>
      <c r="G9" s="183" t="s">
        <v>61</v>
      </c>
      <c r="H9" s="184">
        <v>117051017412</v>
      </c>
      <c r="I9" s="185" t="s">
        <v>62</v>
      </c>
      <c r="J9" s="193" t="s">
        <v>331</v>
      </c>
      <c r="K9" s="248"/>
      <c r="L9" s="186">
        <v>43939</v>
      </c>
      <c r="M9" s="192">
        <f>16750000/5</f>
        <v>3350000</v>
      </c>
    </row>
    <row r="10" spans="1:13" hidden="1" x14ac:dyDescent="0.25">
      <c r="A10" s="191">
        <v>6</v>
      </c>
      <c r="B10" s="344" t="s">
        <v>14</v>
      </c>
      <c r="C10" s="146">
        <v>6</v>
      </c>
      <c r="D10" s="191"/>
      <c r="E10" s="190" t="s">
        <v>587</v>
      </c>
      <c r="F10" s="183" t="s">
        <v>69</v>
      </c>
      <c r="G10" s="183" t="s">
        <v>70</v>
      </c>
      <c r="H10" s="184">
        <v>101231161689</v>
      </c>
      <c r="I10" s="185" t="s">
        <v>71</v>
      </c>
      <c r="J10" s="193" t="s">
        <v>333</v>
      </c>
      <c r="K10" s="248"/>
      <c r="L10" s="195">
        <v>43942</v>
      </c>
      <c r="M10" s="192">
        <f>15500000/5</f>
        <v>3100000</v>
      </c>
    </row>
    <row r="11" spans="1:13" hidden="1" x14ac:dyDescent="0.25">
      <c r="A11" s="191">
        <v>5</v>
      </c>
      <c r="B11" s="344" t="s">
        <v>9</v>
      </c>
      <c r="C11" s="146" t="s">
        <v>586</v>
      </c>
      <c r="D11" s="191">
        <v>1</v>
      </c>
      <c r="E11" s="196" t="s">
        <v>158</v>
      </c>
      <c r="F11" s="183" t="s">
        <v>63</v>
      </c>
      <c r="G11" s="183" t="s">
        <v>64</v>
      </c>
      <c r="H11" s="184">
        <v>102091451210</v>
      </c>
      <c r="I11" s="185" t="s">
        <v>65</v>
      </c>
      <c r="J11" s="146"/>
      <c r="K11" s="247"/>
      <c r="L11" s="195">
        <v>43941</v>
      </c>
      <c r="M11" s="192">
        <f>16500000/5</f>
        <v>3300000</v>
      </c>
    </row>
    <row r="12" spans="1:13" hidden="1" x14ac:dyDescent="0.25">
      <c r="A12" s="191">
        <v>7</v>
      </c>
      <c r="B12" s="344" t="s">
        <v>11</v>
      </c>
      <c r="C12" s="146">
        <v>5</v>
      </c>
      <c r="D12" s="191"/>
      <c r="E12" s="190" t="s">
        <v>587</v>
      </c>
      <c r="F12" s="183" t="s">
        <v>66</v>
      </c>
      <c r="G12" s="183" t="s">
        <v>67</v>
      </c>
      <c r="H12" s="184">
        <v>101251183655</v>
      </c>
      <c r="I12" s="185" t="s">
        <v>68</v>
      </c>
      <c r="J12" s="193" t="s">
        <v>332</v>
      </c>
      <c r="K12" s="248"/>
      <c r="L12" s="195">
        <v>43942</v>
      </c>
      <c r="M12" s="192">
        <v>3200000</v>
      </c>
    </row>
    <row r="13" spans="1:13" hidden="1" x14ac:dyDescent="0.25">
      <c r="A13" s="191">
        <v>8</v>
      </c>
      <c r="B13" s="344" t="s">
        <v>10</v>
      </c>
      <c r="C13" s="146">
        <v>7</v>
      </c>
      <c r="D13" s="191"/>
      <c r="E13" s="190" t="s">
        <v>587</v>
      </c>
      <c r="F13" s="183" t="s">
        <v>72</v>
      </c>
      <c r="G13" s="183" t="s">
        <v>73</v>
      </c>
      <c r="H13" s="184">
        <v>517011008282</v>
      </c>
      <c r="I13" s="185" t="s">
        <v>74</v>
      </c>
      <c r="J13" s="146"/>
      <c r="K13" s="247"/>
      <c r="L13" s="195">
        <v>43942</v>
      </c>
      <c r="M13" s="192">
        <v>3200000</v>
      </c>
    </row>
    <row r="14" spans="1:13" hidden="1" x14ac:dyDescent="0.25">
      <c r="A14" s="191">
        <v>12</v>
      </c>
      <c r="B14" s="344" t="s">
        <v>8</v>
      </c>
      <c r="C14" s="146">
        <v>8</v>
      </c>
      <c r="D14" s="191"/>
      <c r="E14" s="190" t="s">
        <v>588</v>
      </c>
      <c r="F14" s="183" t="s">
        <v>75</v>
      </c>
      <c r="G14" s="183" t="s">
        <v>76</v>
      </c>
      <c r="H14" s="184">
        <v>101221087239</v>
      </c>
      <c r="I14" s="185" t="s">
        <v>77</v>
      </c>
      <c r="J14" s="193" t="s">
        <v>334</v>
      </c>
      <c r="K14" s="248"/>
      <c r="L14" s="195">
        <v>43942</v>
      </c>
      <c r="M14" s="192">
        <f>17250000/5</f>
        <v>3450000</v>
      </c>
    </row>
    <row r="15" spans="1:13" hidden="1" x14ac:dyDescent="0.25">
      <c r="A15" s="191">
        <v>14</v>
      </c>
      <c r="B15" s="344" t="s">
        <v>46</v>
      </c>
      <c r="C15" s="146"/>
      <c r="D15" s="191">
        <v>10</v>
      </c>
      <c r="E15" s="196" t="s">
        <v>145</v>
      </c>
      <c r="F15" s="183" t="s">
        <v>78</v>
      </c>
      <c r="G15" s="183" t="s">
        <v>79</v>
      </c>
      <c r="H15" s="184">
        <v>101251181708</v>
      </c>
      <c r="I15" s="185" t="s">
        <v>80</v>
      </c>
      <c r="J15" s="193" t="s">
        <v>324</v>
      </c>
      <c r="K15" s="248"/>
      <c r="L15" s="195">
        <v>43943</v>
      </c>
      <c r="M15" s="192">
        <f>14400000/5</f>
        <v>2880000</v>
      </c>
    </row>
    <row r="16" spans="1:13" hidden="1" x14ac:dyDescent="0.25">
      <c r="A16" s="191">
        <v>13</v>
      </c>
      <c r="B16" s="344" t="s">
        <v>19</v>
      </c>
      <c r="C16" s="146">
        <v>47</v>
      </c>
      <c r="D16" s="191"/>
      <c r="E16" s="196" t="s">
        <v>145</v>
      </c>
      <c r="F16" s="218" t="s">
        <v>589</v>
      </c>
      <c r="G16" s="183" t="s">
        <v>590</v>
      </c>
      <c r="H16" s="184">
        <v>101124107588</v>
      </c>
      <c r="I16" s="185" t="s">
        <v>591</v>
      </c>
      <c r="J16" s="193" t="s">
        <v>592</v>
      </c>
      <c r="K16" s="247" t="s">
        <v>693</v>
      </c>
      <c r="L16" s="195">
        <v>43943</v>
      </c>
      <c r="M16" s="192">
        <f>14600000/5</f>
        <v>2920000</v>
      </c>
    </row>
    <row r="17" spans="1:13" hidden="1" x14ac:dyDescent="0.25">
      <c r="A17" s="191">
        <v>13</v>
      </c>
      <c r="B17" s="344" t="s">
        <v>19</v>
      </c>
      <c r="C17" s="146">
        <v>11</v>
      </c>
      <c r="D17" s="191"/>
      <c r="E17" s="196" t="s">
        <v>145</v>
      </c>
      <c r="F17" s="218" t="s">
        <v>92</v>
      </c>
      <c r="G17" s="183" t="s">
        <v>93</v>
      </c>
      <c r="H17" s="184">
        <v>110051004731</v>
      </c>
      <c r="I17" s="185" t="s">
        <v>94</v>
      </c>
      <c r="J17" s="193" t="s">
        <v>348</v>
      </c>
      <c r="K17" s="248"/>
      <c r="L17" s="195">
        <v>43943</v>
      </c>
      <c r="M17" s="192">
        <f>14600000/5</f>
        <v>2920000</v>
      </c>
    </row>
    <row r="18" spans="1:13" hidden="1" x14ac:dyDescent="0.25">
      <c r="A18" s="191">
        <v>11</v>
      </c>
      <c r="B18" s="344" t="s">
        <v>157</v>
      </c>
      <c r="C18" s="146">
        <v>12</v>
      </c>
      <c r="D18" s="191"/>
      <c r="E18" s="196" t="s">
        <v>144</v>
      </c>
      <c r="F18" s="183" t="s">
        <v>96</v>
      </c>
      <c r="G18" s="183" t="s">
        <v>97</v>
      </c>
      <c r="H18" s="184">
        <v>102071005234</v>
      </c>
      <c r="I18" s="185" t="s">
        <v>98</v>
      </c>
      <c r="J18" s="193" t="s">
        <v>335</v>
      </c>
      <c r="K18" s="248"/>
      <c r="L18" s="197">
        <v>43944</v>
      </c>
      <c r="M18" s="192">
        <f>22500000/5</f>
        <v>4500000</v>
      </c>
    </row>
    <row r="19" spans="1:13" hidden="1" x14ac:dyDescent="0.25">
      <c r="A19" s="191">
        <v>9</v>
      </c>
      <c r="B19" s="344" t="s">
        <v>13</v>
      </c>
      <c r="C19" s="146">
        <v>13</v>
      </c>
      <c r="D19" s="191"/>
      <c r="E19" s="196" t="s">
        <v>142</v>
      </c>
      <c r="F19" s="183" t="s">
        <v>593</v>
      </c>
      <c r="G19" s="183" t="s">
        <v>594</v>
      </c>
      <c r="H19" s="198">
        <v>117171015253</v>
      </c>
      <c r="I19" s="185" t="s">
        <v>595</v>
      </c>
      <c r="J19" s="199" t="s">
        <v>596</v>
      </c>
      <c r="K19" s="249"/>
      <c r="L19" s="197">
        <v>43944</v>
      </c>
      <c r="M19" s="192">
        <f>13250000/5</f>
        <v>2650000</v>
      </c>
    </row>
    <row r="20" spans="1:13" hidden="1" x14ac:dyDescent="0.25">
      <c r="A20" s="191"/>
      <c r="B20" s="344" t="s">
        <v>598</v>
      </c>
      <c r="C20" s="146">
        <v>14</v>
      </c>
      <c r="D20" s="191"/>
      <c r="E20" s="190" t="s">
        <v>597</v>
      </c>
      <c r="F20" s="183" t="s">
        <v>101</v>
      </c>
      <c r="G20" s="183" t="s">
        <v>102</v>
      </c>
      <c r="H20" s="198">
        <v>101231161981</v>
      </c>
      <c r="I20" s="185" t="s">
        <v>103</v>
      </c>
      <c r="J20" s="199" t="s">
        <v>336</v>
      </c>
      <c r="K20" s="249"/>
      <c r="L20" s="186">
        <v>43944</v>
      </c>
      <c r="M20" s="192">
        <v>1950000</v>
      </c>
    </row>
    <row r="21" spans="1:13" hidden="1" x14ac:dyDescent="0.25">
      <c r="A21" s="191">
        <v>18</v>
      </c>
      <c r="B21" s="344" t="s">
        <v>90</v>
      </c>
      <c r="C21" s="146">
        <v>15</v>
      </c>
      <c r="D21" s="191">
        <v>15</v>
      </c>
      <c r="E21" s="196" t="s">
        <v>150</v>
      </c>
      <c r="F21" s="183" t="s">
        <v>104</v>
      </c>
      <c r="G21" s="183" t="s">
        <v>105</v>
      </c>
      <c r="H21" s="198">
        <v>117171012337</v>
      </c>
      <c r="I21" s="185" t="s">
        <v>106</v>
      </c>
      <c r="J21" s="199" t="s">
        <v>337</v>
      </c>
      <c r="K21" s="249"/>
      <c r="L21" s="195">
        <v>43944</v>
      </c>
      <c r="M21" s="192">
        <f>11000000/5</f>
        <v>2200000</v>
      </c>
    </row>
    <row r="22" spans="1:13" ht="16.5" hidden="1" customHeight="1" x14ac:dyDescent="0.25">
      <c r="A22" s="191">
        <v>15</v>
      </c>
      <c r="B22" s="344" t="s">
        <v>21</v>
      </c>
      <c r="C22" s="200">
        <v>15.5</v>
      </c>
      <c r="D22" s="191">
        <v>16</v>
      </c>
      <c r="E22" s="196" t="s">
        <v>146</v>
      </c>
      <c r="F22" s="183" t="s">
        <v>111</v>
      </c>
      <c r="G22" s="183" t="s">
        <v>112</v>
      </c>
      <c r="H22" s="198">
        <v>101241130876</v>
      </c>
      <c r="I22" s="185" t="s">
        <v>113</v>
      </c>
      <c r="J22" s="199" t="s">
        <v>338</v>
      </c>
      <c r="K22" s="249"/>
      <c r="L22" s="195">
        <v>43944</v>
      </c>
      <c r="M22" s="192">
        <f>13425000/5</f>
        <v>2685000</v>
      </c>
    </row>
    <row r="23" spans="1:13" ht="16.5" hidden="1" customHeight="1" x14ac:dyDescent="0.25">
      <c r="A23" s="191">
        <v>4</v>
      </c>
      <c r="B23" s="344" t="s">
        <v>12</v>
      </c>
      <c r="C23" s="200" t="s">
        <v>586</v>
      </c>
      <c r="D23" s="191">
        <v>2</v>
      </c>
      <c r="E23" s="196" t="s">
        <v>141</v>
      </c>
      <c r="F23" s="183" t="s">
        <v>599</v>
      </c>
      <c r="G23" s="183" t="s">
        <v>600</v>
      </c>
      <c r="H23" s="198">
        <v>101242158316</v>
      </c>
      <c r="I23" s="185" t="s">
        <v>601</v>
      </c>
      <c r="J23" s="199" t="s">
        <v>602</v>
      </c>
      <c r="K23" s="249"/>
      <c r="L23" s="195">
        <v>43946</v>
      </c>
      <c r="M23" s="192">
        <f>16400000/5</f>
        <v>3280000</v>
      </c>
    </row>
    <row r="24" spans="1:13" hidden="1" x14ac:dyDescent="0.25">
      <c r="A24" s="146">
        <v>17</v>
      </c>
      <c r="B24" s="344" t="s">
        <v>22</v>
      </c>
      <c r="C24" s="146">
        <v>16</v>
      </c>
      <c r="D24" s="146" t="s">
        <v>586</v>
      </c>
      <c r="E24" s="196" t="s">
        <v>147</v>
      </c>
      <c r="F24" s="183" t="s">
        <v>54</v>
      </c>
      <c r="G24" s="183" t="s">
        <v>55</v>
      </c>
      <c r="H24" s="184">
        <v>515011020120</v>
      </c>
      <c r="I24" s="185" t="s">
        <v>56</v>
      </c>
      <c r="J24" s="146" t="s">
        <v>584</v>
      </c>
      <c r="K24" s="247"/>
      <c r="L24" s="186">
        <v>43947</v>
      </c>
      <c r="M24" s="188">
        <f>16650000/5</f>
        <v>3330000</v>
      </c>
    </row>
    <row r="25" spans="1:13" hidden="1" x14ac:dyDescent="0.25">
      <c r="A25" s="191">
        <v>10</v>
      </c>
      <c r="B25" s="158" t="s">
        <v>7</v>
      </c>
      <c r="C25" s="146">
        <v>17</v>
      </c>
      <c r="D25" s="191" t="s">
        <v>586</v>
      </c>
      <c r="E25" s="201" t="s">
        <v>143</v>
      </c>
      <c r="F25" s="183" t="s">
        <v>172</v>
      </c>
      <c r="G25" s="183" t="s">
        <v>173</v>
      </c>
      <c r="H25" s="198">
        <v>101251143350</v>
      </c>
      <c r="I25" s="185" t="s">
        <v>174</v>
      </c>
      <c r="J25" s="199" t="s">
        <v>339</v>
      </c>
      <c r="K25" s="249"/>
      <c r="L25" s="197">
        <v>43948</v>
      </c>
      <c r="M25" s="192">
        <f>12000000/5</f>
        <v>2400000</v>
      </c>
    </row>
    <row r="26" spans="1:13" hidden="1" x14ac:dyDescent="0.25">
      <c r="A26" s="191">
        <v>16</v>
      </c>
      <c r="B26" s="344" t="s">
        <v>20</v>
      </c>
      <c r="C26" s="146">
        <v>18</v>
      </c>
      <c r="D26" s="191" t="s">
        <v>586</v>
      </c>
      <c r="E26" s="196" t="s">
        <v>146</v>
      </c>
      <c r="F26" s="183" t="s">
        <v>178</v>
      </c>
      <c r="G26" s="183" t="s">
        <v>179</v>
      </c>
      <c r="H26" s="184">
        <v>101251183598</v>
      </c>
      <c r="I26" s="185" t="s">
        <v>180</v>
      </c>
      <c r="J26" s="193" t="s">
        <v>340</v>
      </c>
      <c r="K26" s="248"/>
      <c r="L26" s="197">
        <v>43948</v>
      </c>
      <c r="M26" s="192">
        <f>13225000/5</f>
        <v>2645000</v>
      </c>
    </row>
    <row r="27" spans="1:13" hidden="1" x14ac:dyDescent="0.25">
      <c r="A27" s="191">
        <v>15</v>
      </c>
      <c r="B27" s="158" t="s">
        <v>21</v>
      </c>
      <c r="C27" s="146">
        <v>19</v>
      </c>
      <c r="D27" s="191" t="s">
        <v>586</v>
      </c>
      <c r="E27" s="201" t="s">
        <v>146</v>
      </c>
      <c r="F27" s="183" t="s">
        <v>782</v>
      </c>
      <c r="G27" s="183" t="s">
        <v>462</v>
      </c>
      <c r="H27" s="184">
        <v>101222052041</v>
      </c>
      <c r="I27" s="185" t="s">
        <v>783</v>
      </c>
      <c r="J27" s="193" t="s">
        <v>784</v>
      </c>
      <c r="K27" s="248"/>
      <c r="L27" s="197">
        <v>43948</v>
      </c>
      <c r="M27" s="192">
        <f>'DB_1,0'!G24/5</f>
        <v>2685000</v>
      </c>
    </row>
    <row r="28" spans="1:13" hidden="1" x14ac:dyDescent="0.25">
      <c r="A28" s="191">
        <v>19</v>
      </c>
      <c r="B28" s="377" t="s">
        <v>115</v>
      </c>
      <c r="C28" s="146">
        <v>20</v>
      </c>
      <c r="D28" s="191" t="s">
        <v>586</v>
      </c>
      <c r="E28" s="196" t="s">
        <v>149</v>
      </c>
      <c r="F28" s="183" t="s">
        <v>206</v>
      </c>
      <c r="G28" s="183" t="s">
        <v>207</v>
      </c>
      <c r="H28" s="184">
        <v>113091010913</v>
      </c>
      <c r="I28" s="185" t="s">
        <v>208</v>
      </c>
      <c r="J28" s="193" t="s">
        <v>341</v>
      </c>
      <c r="K28" s="248"/>
      <c r="L28" s="197">
        <v>43949</v>
      </c>
      <c r="M28" s="192">
        <f>24000000/5</f>
        <v>4800000</v>
      </c>
    </row>
    <row r="29" spans="1:13" hidden="1" x14ac:dyDescent="0.25">
      <c r="A29" s="191">
        <v>21</v>
      </c>
      <c r="B29" s="344" t="s">
        <v>194</v>
      </c>
      <c r="C29" s="146">
        <v>21</v>
      </c>
      <c r="D29" s="191" t="s">
        <v>586</v>
      </c>
      <c r="E29" s="196" t="s">
        <v>192</v>
      </c>
      <c r="F29" s="183" t="s">
        <v>603</v>
      </c>
      <c r="G29" s="183" t="s">
        <v>604</v>
      </c>
      <c r="H29" s="198">
        <v>117011019250</v>
      </c>
      <c r="I29" s="185" t="s">
        <v>605</v>
      </c>
      <c r="J29" s="199" t="s">
        <v>606</v>
      </c>
      <c r="K29" s="249"/>
      <c r="L29" s="195">
        <v>43949</v>
      </c>
      <c r="M29" s="192">
        <f>10500000/5</f>
        <v>2100000</v>
      </c>
    </row>
    <row r="30" spans="1:13" hidden="1" x14ac:dyDescent="0.25">
      <c r="A30" s="191">
        <v>24</v>
      </c>
      <c r="B30" s="344" t="s">
        <v>197</v>
      </c>
      <c r="C30" s="146">
        <v>22</v>
      </c>
      <c r="D30" s="191" t="s">
        <v>586</v>
      </c>
      <c r="E30" s="196" t="s">
        <v>192</v>
      </c>
      <c r="F30" s="183" t="s">
        <v>603</v>
      </c>
      <c r="G30" s="183" t="s">
        <v>604</v>
      </c>
      <c r="H30" s="198">
        <v>117011019250</v>
      </c>
      <c r="I30" s="185" t="s">
        <v>605</v>
      </c>
      <c r="J30" s="199" t="s">
        <v>606</v>
      </c>
      <c r="K30" s="249"/>
      <c r="L30" s="195">
        <v>43949</v>
      </c>
      <c r="M30" s="192">
        <f>10250000/5</f>
        <v>2050000</v>
      </c>
    </row>
    <row r="31" spans="1:13" hidden="1" x14ac:dyDescent="0.25">
      <c r="A31" s="191">
        <v>20</v>
      </c>
      <c r="B31" s="344" t="s">
        <v>116</v>
      </c>
      <c r="C31" s="146">
        <v>23</v>
      </c>
      <c r="D31" s="191" t="s">
        <v>586</v>
      </c>
      <c r="E31" s="196" t="s">
        <v>141</v>
      </c>
      <c r="F31" s="210" t="s">
        <v>96</v>
      </c>
      <c r="G31" s="183" t="s">
        <v>607</v>
      </c>
      <c r="H31" s="198">
        <v>102071012740</v>
      </c>
      <c r="I31" s="185" t="s">
        <v>608</v>
      </c>
      <c r="J31" s="199" t="s">
        <v>609</v>
      </c>
      <c r="K31" s="247"/>
      <c r="L31" s="195">
        <v>43949</v>
      </c>
      <c r="M31" s="192">
        <f>17250000/5</f>
        <v>3450000</v>
      </c>
    </row>
    <row r="32" spans="1:13" x14ac:dyDescent="0.25">
      <c r="A32" s="191"/>
      <c r="B32" s="344" t="s">
        <v>719</v>
      </c>
      <c r="C32" s="191">
        <v>110</v>
      </c>
      <c r="D32" s="191" t="s">
        <v>586</v>
      </c>
      <c r="E32" s="190" t="s">
        <v>718</v>
      </c>
      <c r="F32" s="183" t="s">
        <v>659</v>
      </c>
      <c r="G32" s="183" t="s">
        <v>716</v>
      </c>
      <c r="H32" s="184">
        <v>108091014368</v>
      </c>
      <c r="I32" s="185" t="s">
        <v>717</v>
      </c>
      <c r="J32" s="146" t="s">
        <v>662</v>
      </c>
      <c r="K32" s="247"/>
      <c r="L32" s="186">
        <v>43949</v>
      </c>
      <c r="M32" s="192">
        <v>1100000</v>
      </c>
    </row>
    <row r="33" spans="1:13" hidden="1" x14ac:dyDescent="0.25">
      <c r="A33" s="191">
        <v>23</v>
      </c>
      <c r="B33" s="158" t="s">
        <v>196</v>
      </c>
      <c r="C33" s="146">
        <v>29</v>
      </c>
      <c r="D33" s="191" t="s">
        <v>586</v>
      </c>
      <c r="E33" s="201" t="s">
        <v>192</v>
      </c>
      <c r="F33" s="183" t="s">
        <v>251</v>
      </c>
      <c r="G33" s="183" t="s">
        <v>252</v>
      </c>
      <c r="H33" s="184">
        <v>208012007764</v>
      </c>
      <c r="I33" s="185" t="s">
        <v>253</v>
      </c>
      <c r="J33" s="193" t="s">
        <v>342</v>
      </c>
      <c r="K33" s="248"/>
      <c r="L33" s="195">
        <v>43953</v>
      </c>
      <c r="M33" s="192">
        <f>10550000/5</f>
        <v>2110000</v>
      </c>
    </row>
    <row r="34" spans="1:13" hidden="1" x14ac:dyDescent="0.25">
      <c r="A34" s="191">
        <v>22</v>
      </c>
      <c r="B34" s="344" t="s">
        <v>195</v>
      </c>
      <c r="C34" s="146">
        <v>30</v>
      </c>
      <c r="D34" s="191" t="s">
        <v>586</v>
      </c>
      <c r="E34" s="196" t="s">
        <v>192</v>
      </c>
      <c r="F34" s="183" t="s">
        <v>254</v>
      </c>
      <c r="G34" s="183" t="s">
        <v>255</v>
      </c>
      <c r="H34" s="184">
        <v>117012035400</v>
      </c>
      <c r="I34" s="185" t="s">
        <v>256</v>
      </c>
      <c r="J34" s="193" t="s">
        <v>343</v>
      </c>
      <c r="K34" s="248"/>
      <c r="L34" s="186">
        <v>43953</v>
      </c>
      <c r="M34" s="192">
        <f>10250000/5</f>
        <v>2050000</v>
      </c>
    </row>
    <row r="35" spans="1:13" hidden="1" x14ac:dyDescent="0.25">
      <c r="A35" s="191">
        <v>25</v>
      </c>
      <c r="B35" s="344" t="s">
        <v>213</v>
      </c>
      <c r="C35" s="146"/>
      <c r="D35" s="191">
        <v>12</v>
      </c>
      <c r="E35" s="196" t="s">
        <v>150</v>
      </c>
      <c r="F35" s="183" t="s">
        <v>92</v>
      </c>
      <c r="G35" s="183" t="s">
        <v>93</v>
      </c>
      <c r="H35" s="184">
        <v>110051004731</v>
      </c>
      <c r="I35" s="185" t="s">
        <v>94</v>
      </c>
      <c r="J35" s="193" t="s">
        <v>348</v>
      </c>
      <c r="K35" s="248"/>
      <c r="L35" s="197">
        <v>43955</v>
      </c>
      <c r="M35" s="192">
        <f>14000000/5</f>
        <v>2800000</v>
      </c>
    </row>
    <row r="36" spans="1:13" hidden="1" x14ac:dyDescent="0.25">
      <c r="A36" s="191">
        <v>27</v>
      </c>
      <c r="B36" s="344" t="s">
        <v>217</v>
      </c>
      <c r="C36" s="146"/>
      <c r="D36" s="191">
        <v>11</v>
      </c>
      <c r="E36" s="196" t="s">
        <v>214</v>
      </c>
      <c r="F36" s="183" t="s">
        <v>101</v>
      </c>
      <c r="G36" s="183" t="s">
        <v>262</v>
      </c>
      <c r="H36" s="184">
        <v>101231134142</v>
      </c>
      <c r="I36" s="185" t="s">
        <v>263</v>
      </c>
      <c r="J36" s="193" t="s">
        <v>344</v>
      </c>
      <c r="K36" s="248"/>
      <c r="L36" s="195">
        <v>43955</v>
      </c>
      <c r="M36" s="192">
        <f>11350000/5</f>
        <v>2270000</v>
      </c>
    </row>
    <row r="37" spans="1:13" ht="15" hidden="1" customHeight="1" x14ac:dyDescent="0.25">
      <c r="A37" s="191">
        <v>26</v>
      </c>
      <c r="B37" s="344" t="s">
        <v>216</v>
      </c>
      <c r="C37" s="146">
        <v>32</v>
      </c>
      <c r="D37" s="191" t="s">
        <v>586</v>
      </c>
      <c r="E37" s="196" t="s">
        <v>214</v>
      </c>
      <c r="F37" s="183" t="s">
        <v>398</v>
      </c>
      <c r="G37" s="183" t="s">
        <v>399</v>
      </c>
      <c r="H37" s="184">
        <v>515011018783</v>
      </c>
      <c r="I37" s="185" t="s">
        <v>400</v>
      </c>
      <c r="J37" s="146" t="s">
        <v>401</v>
      </c>
      <c r="K37" s="247"/>
      <c r="L37" s="195">
        <v>43955</v>
      </c>
      <c r="M37" s="192">
        <v>2400000</v>
      </c>
    </row>
    <row r="38" spans="1:13" hidden="1" x14ac:dyDescent="0.25">
      <c r="A38" s="191">
        <v>31</v>
      </c>
      <c r="B38" s="344" t="s">
        <v>266</v>
      </c>
      <c r="C38" s="146">
        <v>36</v>
      </c>
      <c r="D38" s="191" t="s">
        <v>586</v>
      </c>
      <c r="E38" s="196" t="s">
        <v>215</v>
      </c>
      <c r="F38" s="183" t="s">
        <v>280</v>
      </c>
      <c r="G38" s="183" t="s">
        <v>281</v>
      </c>
      <c r="H38" s="184">
        <v>102031026052</v>
      </c>
      <c r="I38" s="185" t="s">
        <v>282</v>
      </c>
      <c r="J38" s="193" t="s">
        <v>346</v>
      </c>
      <c r="K38" s="248"/>
      <c r="L38" s="203">
        <v>43956</v>
      </c>
      <c r="M38" s="192">
        <v>2000000</v>
      </c>
    </row>
    <row r="39" spans="1:13" hidden="1" x14ac:dyDescent="0.25">
      <c r="A39" s="191">
        <v>30</v>
      </c>
      <c r="B39" s="344" t="s">
        <v>265</v>
      </c>
      <c r="C39" s="146" t="s">
        <v>586</v>
      </c>
      <c r="D39" s="191">
        <v>13</v>
      </c>
      <c r="E39" s="196" t="s">
        <v>215</v>
      </c>
      <c r="F39" s="183" t="s">
        <v>63</v>
      </c>
      <c r="G39" s="183" t="s">
        <v>283</v>
      </c>
      <c r="H39" s="184">
        <v>103071010800</v>
      </c>
      <c r="I39" s="185" t="s">
        <v>284</v>
      </c>
      <c r="J39" s="193" t="s">
        <v>347</v>
      </c>
      <c r="K39" s="248"/>
      <c r="L39" s="186">
        <v>43956</v>
      </c>
      <c r="M39" s="192">
        <f>9950000/5</f>
        <v>1990000</v>
      </c>
    </row>
    <row r="40" spans="1:13" hidden="1" x14ac:dyDescent="0.25">
      <c r="A40" s="191">
        <v>35</v>
      </c>
      <c r="B40" s="344" t="s">
        <v>276</v>
      </c>
      <c r="C40" s="146">
        <v>37</v>
      </c>
      <c r="D40" s="191" t="s">
        <v>586</v>
      </c>
      <c r="E40" s="196" t="s">
        <v>87</v>
      </c>
      <c r="F40" s="183" t="s">
        <v>291</v>
      </c>
      <c r="G40" s="183" t="s">
        <v>292</v>
      </c>
      <c r="H40" s="184">
        <v>101251100686</v>
      </c>
      <c r="I40" s="185" t="s">
        <v>293</v>
      </c>
      <c r="J40" s="147" t="s">
        <v>294</v>
      </c>
      <c r="K40" s="250"/>
      <c r="L40" s="186">
        <v>43958</v>
      </c>
      <c r="M40" s="192">
        <f>13500000/5</f>
        <v>2700000</v>
      </c>
    </row>
    <row r="41" spans="1:13" hidden="1" x14ac:dyDescent="0.25">
      <c r="A41" s="191">
        <v>28</v>
      </c>
      <c r="B41" s="158" t="s">
        <v>218</v>
      </c>
      <c r="C41" s="146">
        <v>34</v>
      </c>
      <c r="D41" s="191" t="s">
        <v>586</v>
      </c>
      <c r="E41" s="196" t="s">
        <v>215</v>
      </c>
      <c r="F41" s="183" t="s">
        <v>172</v>
      </c>
      <c r="G41" s="183" t="s">
        <v>268</v>
      </c>
      <c r="H41" s="198">
        <v>102011016397</v>
      </c>
      <c r="I41" s="185" t="s">
        <v>269</v>
      </c>
      <c r="J41" s="199" t="s">
        <v>345</v>
      </c>
      <c r="K41" s="249"/>
      <c r="L41" s="195">
        <v>43956</v>
      </c>
      <c r="M41" s="192">
        <f>9400000/5</f>
        <v>1880000</v>
      </c>
    </row>
    <row r="42" spans="1:13" hidden="1" x14ac:dyDescent="0.25">
      <c r="A42" s="191">
        <v>47</v>
      </c>
      <c r="B42" s="378" t="s">
        <v>314</v>
      </c>
      <c r="C42" s="146"/>
      <c r="D42" s="191"/>
      <c r="E42" s="201" t="s">
        <v>309</v>
      </c>
      <c r="F42" s="183" t="s">
        <v>744</v>
      </c>
      <c r="G42" s="183"/>
      <c r="H42" s="198"/>
      <c r="I42" s="185"/>
      <c r="J42" s="199" t="s">
        <v>602</v>
      </c>
      <c r="K42" s="249"/>
      <c r="L42" s="186">
        <v>43962</v>
      </c>
      <c r="M42" s="192">
        <f>22000000/5</f>
        <v>4400000</v>
      </c>
    </row>
    <row r="43" spans="1:13" hidden="1" x14ac:dyDescent="0.25">
      <c r="A43" s="191">
        <v>45</v>
      </c>
      <c r="B43" s="158" t="s">
        <v>312</v>
      </c>
      <c r="C43" s="146"/>
      <c r="D43" s="191">
        <v>16</v>
      </c>
      <c r="E43" s="201" t="s">
        <v>305</v>
      </c>
      <c r="F43" s="183" t="s">
        <v>610</v>
      </c>
      <c r="G43" s="183" t="s">
        <v>611</v>
      </c>
      <c r="H43" s="184"/>
      <c r="I43" s="185"/>
      <c r="J43" s="147" t="s">
        <v>612</v>
      </c>
      <c r="K43" s="250"/>
      <c r="L43" s="186">
        <v>43962</v>
      </c>
      <c r="M43" s="192">
        <f>18000000/5</f>
        <v>3600000</v>
      </c>
    </row>
    <row r="44" spans="1:13" hidden="1" x14ac:dyDescent="0.25">
      <c r="A44" s="191">
        <v>38</v>
      </c>
      <c r="B44" s="158" t="s">
        <v>306</v>
      </c>
      <c r="C44" s="146"/>
      <c r="D44" s="191">
        <v>15</v>
      </c>
      <c r="E44" s="201" t="s">
        <v>305</v>
      </c>
      <c r="F44" s="183" t="s">
        <v>78</v>
      </c>
      <c r="G44" s="183" t="s">
        <v>79</v>
      </c>
      <c r="H44" s="184">
        <v>101251181708</v>
      </c>
      <c r="I44" s="185" t="s">
        <v>80</v>
      </c>
      <c r="J44" s="193" t="s">
        <v>324</v>
      </c>
      <c r="K44" s="248"/>
      <c r="L44" s="186">
        <v>43962</v>
      </c>
      <c r="M44" s="192">
        <f>18000000/5</f>
        <v>3600000</v>
      </c>
    </row>
    <row r="45" spans="1:13" hidden="1" x14ac:dyDescent="0.25">
      <c r="A45" s="191">
        <v>50</v>
      </c>
      <c r="B45" s="158" t="s">
        <v>317</v>
      </c>
      <c r="C45" s="146"/>
      <c r="D45" s="191">
        <v>17</v>
      </c>
      <c r="E45" s="201" t="s">
        <v>305</v>
      </c>
      <c r="F45" s="183"/>
      <c r="G45" s="183" t="s">
        <v>613</v>
      </c>
      <c r="H45" s="184"/>
      <c r="I45" s="185"/>
      <c r="J45" s="147"/>
      <c r="K45" s="250"/>
      <c r="L45" s="186">
        <v>43962</v>
      </c>
      <c r="M45" s="192">
        <f>18500000/5</f>
        <v>3700000</v>
      </c>
    </row>
    <row r="46" spans="1:13" hidden="1" x14ac:dyDescent="0.25">
      <c r="A46" s="191">
        <v>46</v>
      </c>
      <c r="B46" s="158" t="s">
        <v>313</v>
      </c>
      <c r="C46" s="146"/>
      <c r="D46" s="191">
        <v>20</v>
      </c>
      <c r="E46" s="201" t="s">
        <v>305</v>
      </c>
      <c r="F46" s="183" t="s">
        <v>60</v>
      </c>
      <c r="G46" s="183" t="s">
        <v>381</v>
      </c>
      <c r="H46" s="184">
        <v>101231092332</v>
      </c>
      <c r="I46" s="185" t="s">
        <v>382</v>
      </c>
      <c r="J46" s="146" t="s">
        <v>383</v>
      </c>
      <c r="K46" s="247"/>
      <c r="L46" s="186">
        <v>43962</v>
      </c>
      <c r="M46" s="192">
        <f>17350000/5</f>
        <v>3470000</v>
      </c>
    </row>
    <row r="47" spans="1:13" hidden="1" x14ac:dyDescent="0.25">
      <c r="A47" s="191">
        <v>43</v>
      </c>
      <c r="B47" s="158" t="s">
        <v>310</v>
      </c>
      <c r="C47" s="146" t="s">
        <v>586</v>
      </c>
      <c r="D47" s="191">
        <v>19</v>
      </c>
      <c r="E47" s="201" t="s">
        <v>305</v>
      </c>
      <c r="F47" s="183" t="s">
        <v>60</v>
      </c>
      <c r="G47" s="183" t="s">
        <v>381</v>
      </c>
      <c r="H47" s="184">
        <v>101231092332</v>
      </c>
      <c r="I47" s="185" t="s">
        <v>382</v>
      </c>
      <c r="J47" s="146" t="s">
        <v>383</v>
      </c>
      <c r="K47" s="247"/>
      <c r="L47" s="186">
        <v>43962</v>
      </c>
      <c r="M47" s="192">
        <f>17350000/5</f>
        <v>3470000</v>
      </c>
    </row>
    <row r="48" spans="1:13" hidden="1" x14ac:dyDescent="0.25">
      <c r="A48" s="191">
        <v>40</v>
      </c>
      <c r="B48" s="158" t="s">
        <v>308</v>
      </c>
      <c r="C48" s="146" t="s">
        <v>586</v>
      </c>
      <c r="D48" s="191">
        <v>21</v>
      </c>
      <c r="E48" s="201" t="s">
        <v>305</v>
      </c>
      <c r="F48" s="183" t="s">
        <v>60</v>
      </c>
      <c r="G48" s="183" t="s">
        <v>381</v>
      </c>
      <c r="H48" s="184">
        <v>101231092332</v>
      </c>
      <c r="I48" s="185" t="s">
        <v>382</v>
      </c>
      <c r="J48" s="146" t="s">
        <v>383</v>
      </c>
      <c r="K48" s="247"/>
      <c r="L48" s="186">
        <v>43962</v>
      </c>
      <c r="M48" s="192">
        <f>17350000/5</f>
        <v>3470000</v>
      </c>
    </row>
    <row r="49" spans="1:13" hidden="1" x14ac:dyDescent="0.25">
      <c r="A49" s="191">
        <v>49</v>
      </c>
      <c r="B49" s="158" t="s">
        <v>316</v>
      </c>
      <c r="C49" s="146" t="s">
        <v>586</v>
      </c>
      <c r="D49" s="191">
        <v>23</v>
      </c>
      <c r="E49" s="201" t="s">
        <v>305</v>
      </c>
      <c r="F49" s="183" t="s">
        <v>60</v>
      </c>
      <c r="G49" s="183" t="s">
        <v>381</v>
      </c>
      <c r="H49" s="184">
        <v>101231092332</v>
      </c>
      <c r="I49" s="185" t="s">
        <v>382</v>
      </c>
      <c r="J49" s="146" t="s">
        <v>383</v>
      </c>
      <c r="K49" s="247"/>
      <c r="L49" s="186">
        <v>43962</v>
      </c>
      <c r="M49" s="192">
        <f>18000000/5</f>
        <v>3600000</v>
      </c>
    </row>
    <row r="50" spans="1:13" hidden="1" x14ac:dyDescent="0.25">
      <c r="A50" s="191">
        <v>44</v>
      </c>
      <c r="B50" s="158" t="s">
        <v>311</v>
      </c>
      <c r="C50" s="146" t="s">
        <v>586</v>
      </c>
      <c r="D50" s="191">
        <v>18</v>
      </c>
      <c r="E50" s="201" t="s">
        <v>309</v>
      </c>
      <c r="F50" s="183" t="s">
        <v>60</v>
      </c>
      <c r="G50" s="183" t="s">
        <v>381</v>
      </c>
      <c r="H50" s="184">
        <v>101231092332</v>
      </c>
      <c r="I50" s="185" t="s">
        <v>382</v>
      </c>
      <c r="J50" s="146" t="s">
        <v>383</v>
      </c>
      <c r="K50" s="247"/>
      <c r="L50" s="186">
        <v>43962</v>
      </c>
      <c r="M50" s="192">
        <f>22750000/5</f>
        <v>4550000</v>
      </c>
    </row>
    <row r="51" spans="1:13" ht="15" hidden="1" customHeight="1" x14ac:dyDescent="0.25">
      <c r="A51" s="191">
        <v>34</v>
      </c>
      <c r="B51" s="344" t="s">
        <v>275</v>
      </c>
      <c r="C51" s="146">
        <v>39</v>
      </c>
      <c r="D51" s="191"/>
      <c r="E51" s="196" t="s">
        <v>87</v>
      </c>
      <c r="F51" s="183" t="s">
        <v>402</v>
      </c>
      <c r="G51" s="183" t="s">
        <v>403</v>
      </c>
      <c r="H51" s="184">
        <v>117121001276</v>
      </c>
      <c r="I51" s="185" t="s">
        <v>404</v>
      </c>
      <c r="J51" s="146" t="s">
        <v>405</v>
      </c>
      <c r="K51" s="247"/>
      <c r="L51" s="186">
        <v>43963</v>
      </c>
      <c r="M51" s="192">
        <f>11500000/5</f>
        <v>2300000</v>
      </c>
    </row>
    <row r="52" spans="1:13" ht="15" hidden="1" customHeight="1" x14ac:dyDescent="0.25">
      <c r="A52" s="191">
        <v>37</v>
      </c>
      <c r="B52" s="344" t="s">
        <v>303</v>
      </c>
      <c r="C52" s="146">
        <v>40</v>
      </c>
      <c r="D52" s="191" t="s">
        <v>586</v>
      </c>
      <c r="E52" s="196" t="s">
        <v>87</v>
      </c>
      <c r="F52" s="183" t="s">
        <v>406</v>
      </c>
      <c r="G52" s="183" t="s">
        <v>407</v>
      </c>
      <c r="H52" s="184">
        <v>105011005981</v>
      </c>
      <c r="I52" s="185" t="s">
        <v>408</v>
      </c>
      <c r="J52" s="146" t="s">
        <v>409</v>
      </c>
      <c r="K52" s="247"/>
      <c r="L52" s="186">
        <v>43963</v>
      </c>
      <c r="M52" s="192">
        <f>16000000/5</f>
        <v>3200000</v>
      </c>
    </row>
    <row r="53" spans="1:13" ht="15" hidden="1" customHeight="1" x14ac:dyDescent="0.25">
      <c r="A53" s="191">
        <v>41</v>
      </c>
      <c r="B53" s="344" t="s">
        <v>354</v>
      </c>
      <c r="C53" s="146">
        <v>41</v>
      </c>
      <c r="D53" s="191"/>
      <c r="E53" s="196" t="s">
        <v>305</v>
      </c>
      <c r="F53" s="183" t="s">
        <v>410</v>
      </c>
      <c r="G53" s="183" t="s">
        <v>411</v>
      </c>
      <c r="H53" s="198">
        <v>301011007946</v>
      </c>
      <c r="I53" s="185" t="s">
        <v>412</v>
      </c>
      <c r="J53" s="146" t="s">
        <v>413</v>
      </c>
      <c r="K53" s="247"/>
      <c r="L53" s="186">
        <v>43963</v>
      </c>
      <c r="M53" s="192">
        <f>18000000/5</f>
        <v>3600000</v>
      </c>
    </row>
    <row r="54" spans="1:13" hidden="1" x14ac:dyDescent="0.25">
      <c r="A54" s="191">
        <v>51</v>
      </c>
      <c r="B54" s="158" t="s">
        <v>577</v>
      </c>
      <c r="C54" s="146"/>
      <c r="D54" s="191">
        <v>25</v>
      </c>
      <c r="E54" s="201" t="s">
        <v>305</v>
      </c>
      <c r="F54" s="183" t="s">
        <v>92</v>
      </c>
      <c r="G54" s="183" t="s">
        <v>93</v>
      </c>
      <c r="H54" s="184">
        <v>110051004731</v>
      </c>
      <c r="I54" s="185" t="s">
        <v>94</v>
      </c>
      <c r="J54" s="193" t="s">
        <v>348</v>
      </c>
      <c r="K54" s="248"/>
      <c r="L54" s="186">
        <v>43964</v>
      </c>
      <c r="M54" s="192">
        <f>18250000/5</f>
        <v>3650000</v>
      </c>
    </row>
    <row r="55" spans="1:13" ht="15" hidden="1" customHeight="1" x14ac:dyDescent="0.25">
      <c r="A55" s="191">
        <v>36</v>
      </c>
      <c r="B55" s="379" t="s">
        <v>297</v>
      </c>
      <c r="C55" s="146">
        <v>43</v>
      </c>
      <c r="D55" s="191"/>
      <c r="E55" s="196" t="s">
        <v>271</v>
      </c>
      <c r="F55" s="183" t="s">
        <v>414</v>
      </c>
      <c r="G55" s="183" t="s">
        <v>415</v>
      </c>
      <c r="H55" s="198">
        <v>101252130214</v>
      </c>
      <c r="I55" s="185" t="s">
        <v>416</v>
      </c>
      <c r="J55" s="146" t="s">
        <v>417</v>
      </c>
      <c r="K55" s="247"/>
      <c r="L55" s="186">
        <v>43965</v>
      </c>
      <c r="M55" s="192">
        <f>16500000/5</f>
        <v>3300000</v>
      </c>
    </row>
    <row r="56" spans="1:13" hidden="1" x14ac:dyDescent="0.25">
      <c r="A56" s="191">
        <v>32</v>
      </c>
      <c r="B56" s="158" t="s">
        <v>273</v>
      </c>
      <c r="C56" s="146"/>
      <c r="D56" s="191">
        <v>30</v>
      </c>
      <c r="E56" s="201" t="s">
        <v>271</v>
      </c>
      <c r="F56" s="183" t="s">
        <v>60</v>
      </c>
      <c r="G56" s="183" t="s">
        <v>381</v>
      </c>
      <c r="H56" s="184">
        <v>101231092332</v>
      </c>
      <c r="I56" s="185" t="s">
        <v>382</v>
      </c>
      <c r="J56" s="146" t="s">
        <v>383</v>
      </c>
      <c r="K56" s="247"/>
      <c r="L56" s="186">
        <v>43968</v>
      </c>
      <c r="M56" s="192">
        <f>22500000/5</f>
        <v>4500000</v>
      </c>
    </row>
    <row r="57" spans="1:13" hidden="1" x14ac:dyDescent="0.25">
      <c r="A57" s="191">
        <v>42</v>
      </c>
      <c r="B57" s="158" t="s">
        <v>363</v>
      </c>
      <c r="C57" s="146"/>
      <c r="D57" s="191">
        <v>31</v>
      </c>
      <c r="E57" s="201" t="s">
        <v>309</v>
      </c>
      <c r="F57" s="183" t="s">
        <v>60</v>
      </c>
      <c r="G57" s="183" t="s">
        <v>381</v>
      </c>
      <c r="H57" s="184">
        <v>101231092332</v>
      </c>
      <c r="I57" s="185" t="s">
        <v>382</v>
      </c>
      <c r="J57" s="146" t="s">
        <v>383</v>
      </c>
      <c r="K57" s="247"/>
      <c r="L57" s="186">
        <v>43968</v>
      </c>
      <c r="M57" s="192">
        <f>23000000/5</f>
        <v>4600000</v>
      </c>
    </row>
    <row r="58" spans="1:13" hidden="1" x14ac:dyDescent="0.25">
      <c r="A58" s="191">
        <v>33</v>
      </c>
      <c r="B58" s="158" t="s">
        <v>274</v>
      </c>
      <c r="C58" s="146"/>
      <c r="D58" s="191">
        <v>29</v>
      </c>
      <c r="E58" s="201" t="s">
        <v>272</v>
      </c>
      <c r="F58" s="183" t="s">
        <v>60</v>
      </c>
      <c r="G58" s="183" t="s">
        <v>381</v>
      </c>
      <c r="H58" s="184">
        <v>101231092332</v>
      </c>
      <c r="I58" s="185" t="s">
        <v>382</v>
      </c>
      <c r="J58" s="146" t="s">
        <v>383</v>
      </c>
      <c r="K58" s="247"/>
      <c r="L58" s="186">
        <v>43968</v>
      </c>
      <c r="M58" s="192">
        <f>22000000/5</f>
        <v>4400000</v>
      </c>
    </row>
    <row r="59" spans="1:13" hidden="1" x14ac:dyDescent="0.25">
      <c r="A59" s="191">
        <v>63</v>
      </c>
      <c r="B59" s="158" t="s">
        <v>376</v>
      </c>
      <c r="C59" s="146"/>
      <c r="D59" s="191">
        <v>34</v>
      </c>
      <c r="E59" s="201" t="s">
        <v>87</v>
      </c>
      <c r="F59" s="183" t="s">
        <v>384</v>
      </c>
      <c r="G59" s="183" t="s">
        <v>385</v>
      </c>
      <c r="H59" s="184">
        <v>101251171456</v>
      </c>
      <c r="I59" s="185" t="s">
        <v>614</v>
      </c>
      <c r="J59" s="146" t="s">
        <v>386</v>
      </c>
      <c r="K59" s="247"/>
      <c r="L59" s="186">
        <v>43970</v>
      </c>
      <c r="M59" s="192">
        <f>11235000/5</f>
        <v>2247000</v>
      </c>
    </row>
    <row r="60" spans="1:13" hidden="1" x14ac:dyDescent="0.25">
      <c r="A60" s="191">
        <v>61</v>
      </c>
      <c r="B60" s="344" t="s">
        <v>374</v>
      </c>
      <c r="C60" s="146">
        <v>61</v>
      </c>
      <c r="D60" s="191"/>
      <c r="E60" s="196" t="s">
        <v>87</v>
      </c>
      <c r="F60" s="183" t="s">
        <v>615</v>
      </c>
      <c r="G60" s="183" t="s">
        <v>616</v>
      </c>
      <c r="H60" s="184">
        <v>101211113201</v>
      </c>
      <c r="I60" s="185" t="s">
        <v>617</v>
      </c>
      <c r="J60" s="193" t="s">
        <v>618</v>
      </c>
      <c r="K60" s="248"/>
      <c r="L60" s="197">
        <v>43972</v>
      </c>
      <c r="M60" s="192">
        <v>2200000</v>
      </c>
    </row>
    <row r="61" spans="1:13" hidden="1" x14ac:dyDescent="0.25">
      <c r="A61" s="191">
        <v>64</v>
      </c>
      <c r="B61" s="344" t="s">
        <v>377</v>
      </c>
      <c r="C61" s="146">
        <v>63</v>
      </c>
      <c r="D61" s="191"/>
      <c r="E61" s="196" t="s">
        <v>87</v>
      </c>
      <c r="F61" s="183" t="s">
        <v>619</v>
      </c>
      <c r="G61" s="183" t="s">
        <v>620</v>
      </c>
      <c r="H61" s="184">
        <v>101232134705</v>
      </c>
      <c r="I61" s="185" t="s">
        <v>621</v>
      </c>
      <c r="J61" s="193" t="s">
        <v>622</v>
      </c>
      <c r="K61" s="248"/>
      <c r="L61" s="197">
        <v>43972</v>
      </c>
      <c r="M61" s="192">
        <f>12150000/5</f>
        <v>2430000</v>
      </c>
    </row>
    <row r="62" spans="1:13" ht="16.5" hidden="1" customHeight="1" x14ac:dyDescent="0.25">
      <c r="A62" s="191">
        <v>63</v>
      </c>
      <c r="B62" s="158" t="s">
        <v>376</v>
      </c>
      <c r="C62" s="146">
        <v>60</v>
      </c>
      <c r="D62" s="191"/>
      <c r="E62" s="201" t="s">
        <v>87</v>
      </c>
      <c r="F62" s="183" t="s">
        <v>623</v>
      </c>
      <c r="G62" s="183" t="s">
        <v>624</v>
      </c>
      <c r="H62" s="184">
        <v>101251194702</v>
      </c>
      <c r="I62" s="185" t="s">
        <v>625</v>
      </c>
      <c r="J62" s="146"/>
      <c r="K62" s="247" t="s">
        <v>747</v>
      </c>
      <c r="L62" s="186">
        <v>43972</v>
      </c>
      <c r="M62" s="192"/>
    </row>
    <row r="63" spans="1:13" hidden="1" x14ac:dyDescent="0.25">
      <c r="A63" s="191">
        <v>43</v>
      </c>
      <c r="B63" s="158" t="s">
        <v>310</v>
      </c>
      <c r="C63" s="146">
        <v>62</v>
      </c>
      <c r="D63" s="191"/>
      <c r="E63" s="201" t="s">
        <v>305</v>
      </c>
      <c r="F63" s="183" t="s">
        <v>626</v>
      </c>
      <c r="G63" s="183" t="s">
        <v>627</v>
      </c>
      <c r="H63" s="184">
        <v>101981076650</v>
      </c>
      <c r="I63" s="185" t="s">
        <v>628</v>
      </c>
      <c r="J63" s="146" t="s">
        <v>629</v>
      </c>
      <c r="K63" s="247" t="s">
        <v>704</v>
      </c>
      <c r="L63" s="186">
        <v>43972</v>
      </c>
      <c r="M63" s="192"/>
    </row>
    <row r="64" spans="1:13" hidden="1" x14ac:dyDescent="0.25">
      <c r="A64" s="191">
        <v>71</v>
      </c>
      <c r="B64" s="158" t="s">
        <v>440</v>
      </c>
      <c r="C64" s="146"/>
      <c r="D64" s="191">
        <v>39</v>
      </c>
      <c r="E64" s="201" t="s">
        <v>434</v>
      </c>
      <c r="F64" s="183" t="s">
        <v>92</v>
      </c>
      <c r="G64" s="183" t="s">
        <v>93</v>
      </c>
      <c r="H64" s="184">
        <v>110051004731</v>
      </c>
      <c r="I64" s="185" t="s">
        <v>94</v>
      </c>
      <c r="J64" s="193" t="s">
        <v>348</v>
      </c>
      <c r="K64" s="248"/>
      <c r="L64" s="186">
        <v>43974</v>
      </c>
      <c r="M64" s="192">
        <f>17000000/5</f>
        <v>3400000</v>
      </c>
    </row>
    <row r="65" spans="1:13" hidden="1" x14ac:dyDescent="0.25">
      <c r="A65" s="191">
        <v>70</v>
      </c>
      <c r="B65" s="344" t="s">
        <v>439</v>
      </c>
      <c r="C65" s="146" t="s">
        <v>586</v>
      </c>
      <c r="D65" s="191">
        <v>40</v>
      </c>
      <c r="E65" s="196" t="s">
        <v>87</v>
      </c>
      <c r="F65" s="183" t="s">
        <v>384</v>
      </c>
      <c r="G65" s="183" t="s">
        <v>385</v>
      </c>
      <c r="H65" s="184">
        <v>101251171456</v>
      </c>
      <c r="I65" s="185" t="s">
        <v>614</v>
      </c>
      <c r="J65" s="146" t="s">
        <v>386</v>
      </c>
      <c r="K65" s="247"/>
      <c r="L65" s="186">
        <v>43974</v>
      </c>
      <c r="M65" s="192">
        <f>11250000/5</f>
        <v>2250000</v>
      </c>
    </row>
    <row r="66" spans="1:13" hidden="1" x14ac:dyDescent="0.25">
      <c r="A66" s="191">
        <v>68</v>
      </c>
      <c r="B66" s="158" t="s">
        <v>437</v>
      </c>
      <c r="C66" s="146"/>
      <c r="D66" s="191">
        <v>41</v>
      </c>
      <c r="E66" s="201" t="s">
        <v>87</v>
      </c>
      <c r="F66" s="183" t="s">
        <v>384</v>
      </c>
      <c r="G66" s="183" t="s">
        <v>385</v>
      </c>
      <c r="H66" s="184">
        <v>101251171456</v>
      </c>
      <c r="I66" s="185" t="s">
        <v>614</v>
      </c>
      <c r="J66" s="146" t="s">
        <v>386</v>
      </c>
      <c r="K66" s="247"/>
      <c r="L66" s="186">
        <v>43974</v>
      </c>
      <c r="M66" s="192">
        <f>14500000/5</f>
        <v>2900000</v>
      </c>
    </row>
    <row r="67" spans="1:13" hidden="1" x14ac:dyDescent="0.25">
      <c r="A67" s="191">
        <v>80</v>
      </c>
      <c r="B67" s="344" t="s">
        <v>455</v>
      </c>
      <c r="C67" s="146" t="s">
        <v>586</v>
      </c>
      <c r="D67" s="191">
        <v>42</v>
      </c>
      <c r="E67" s="196" t="s">
        <v>435</v>
      </c>
      <c r="F67" s="183" t="s">
        <v>60</v>
      </c>
      <c r="G67" s="183" t="s">
        <v>381</v>
      </c>
      <c r="H67" s="184">
        <v>101231092332</v>
      </c>
      <c r="I67" s="185" t="s">
        <v>382</v>
      </c>
      <c r="J67" s="146" t="s">
        <v>383</v>
      </c>
      <c r="K67" s="247"/>
      <c r="L67" s="186">
        <v>43975</v>
      </c>
      <c r="M67" s="192">
        <f>17000000/5</f>
        <v>3400000</v>
      </c>
    </row>
    <row r="68" spans="1:13" ht="15" hidden="1" customHeight="1" x14ac:dyDescent="0.25">
      <c r="A68" s="191">
        <v>62</v>
      </c>
      <c r="B68" s="158" t="s">
        <v>375</v>
      </c>
      <c r="C68" s="146"/>
      <c r="D68" s="191">
        <v>35</v>
      </c>
      <c r="E68" s="201" t="s">
        <v>87</v>
      </c>
      <c r="F68" s="183" t="s">
        <v>387</v>
      </c>
      <c r="G68" s="183" t="s">
        <v>388</v>
      </c>
      <c r="H68" s="184">
        <v>301071019100</v>
      </c>
      <c r="I68" s="185" t="s">
        <v>389</v>
      </c>
      <c r="J68" s="146" t="s">
        <v>390</v>
      </c>
      <c r="K68" s="247"/>
      <c r="L68" s="186">
        <v>43970</v>
      </c>
      <c r="M68" s="192">
        <f>11500000/5</f>
        <v>2300000</v>
      </c>
    </row>
    <row r="69" spans="1:13" ht="15" hidden="1" customHeight="1" x14ac:dyDescent="0.25">
      <c r="A69" s="191">
        <v>60</v>
      </c>
      <c r="B69" s="158" t="s">
        <v>373</v>
      </c>
      <c r="C69" s="146"/>
      <c r="D69" s="191">
        <v>36</v>
      </c>
      <c r="E69" s="201" t="s">
        <v>87</v>
      </c>
      <c r="F69" s="183" t="s">
        <v>391</v>
      </c>
      <c r="G69" s="183" t="s">
        <v>392</v>
      </c>
      <c r="H69" s="184">
        <v>401011035359</v>
      </c>
      <c r="I69" s="185" t="s">
        <v>393</v>
      </c>
      <c r="J69" s="146"/>
      <c r="K69" s="247"/>
      <c r="L69" s="186">
        <v>43970</v>
      </c>
      <c r="M69" s="192">
        <f>12100000/5</f>
        <v>2420000</v>
      </c>
    </row>
    <row r="70" spans="1:13" ht="15" hidden="1" customHeight="1" x14ac:dyDescent="0.25">
      <c r="A70" s="191">
        <v>56</v>
      </c>
      <c r="B70" s="158" t="s">
        <v>369</v>
      </c>
      <c r="C70" s="146">
        <v>48</v>
      </c>
      <c r="D70" s="191"/>
      <c r="E70" s="201" t="s">
        <v>87</v>
      </c>
      <c r="F70" s="183" t="s">
        <v>391</v>
      </c>
      <c r="G70" s="183" t="s">
        <v>392</v>
      </c>
      <c r="H70" s="184">
        <v>401011035359</v>
      </c>
      <c r="I70" s="185" t="s">
        <v>393</v>
      </c>
      <c r="J70" s="146"/>
      <c r="K70" s="247"/>
      <c r="L70" s="186">
        <v>43974</v>
      </c>
      <c r="M70" s="192"/>
    </row>
    <row r="71" spans="1:13" ht="15" hidden="1" customHeight="1" x14ac:dyDescent="0.25">
      <c r="A71" s="191">
        <v>56</v>
      </c>
      <c r="B71" s="158" t="s">
        <v>369</v>
      </c>
      <c r="C71" s="146"/>
      <c r="D71" s="191">
        <v>37</v>
      </c>
      <c r="E71" s="201" t="s">
        <v>87</v>
      </c>
      <c r="F71" s="183" t="s">
        <v>394</v>
      </c>
      <c r="G71" s="183" t="s">
        <v>395</v>
      </c>
      <c r="H71" s="184">
        <v>208031004927</v>
      </c>
      <c r="I71" s="185" t="s">
        <v>396</v>
      </c>
      <c r="J71" s="146" t="s">
        <v>397</v>
      </c>
      <c r="K71" s="247" t="s">
        <v>743</v>
      </c>
      <c r="L71" s="195">
        <v>43970</v>
      </c>
      <c r="M71" s="192">
        <f>11250000/5</f>
        <v>2250000</v>
      </c>
    </row>
    <row r="72" spans="1:13" ht="15" hidden="1" customHeight="1" x14ac:dyDescent="0.25">
      <c r="A72" s="191">
        <v>48</v>
      </c>
      <c r="B72" s="344" t="s">
        <v>315</v>
      </c>
      <c r="C72" s="146">
        <v>50</v>
      </c>
      <c r="D72" s="191"/>
      <c r="E72" s="196" t="s">
        <v>87</v>
      </c>
      <c r="F72" s="183" t="s">
        <v>422</v>
      </c>
      <c r="G72" s="183" t="s">
        <v>423</v>
      </c>
      <c r="H72" s="198">
        <v>216011018011</v>
      </c>
      <c r="I72" s="185" t="s">
        <v>424</v>
      </c>
      <c r="J72" s="146" t="s">
        <v>425</v>
      </c>
      <c r="K72" s="247"/>
      <c r="L72" s="186">
        <v>43968</v>
      </c>
      <c r="M72" s="192">
        <v>3200000</v>
      </c>
    </row>
    <row r="73" spans="1:13" ht="15" hidden="1" customHeight="1" x14ac:dyDescent="0.25">
      <c r="A73" s="191">
        <v>57</v>
      </c>
      <c r="B73" s="344" t="s">
        <v>370</v>
      </c>
      <c r="C73" s="146"/>
      <c r="D73" s="191">
        <v>33</v>
      </c>
      <c r="E73" s="196" t="s">
        <v>87</v>
      </c>
      <c r="F73" s="183" t="s">
        <v>630</v>
      </c>
      <c r="G73" s="183" t="s">
        <v>631</v>
      </c>
      <c r="H73" s="198"/>
      <c r="I73" s="185" t="s">
        <v>632</v>
      </c>
      <c r="J73" s="146" t="s">
        <v>633</v>
      </c>
      <c r="K73" s="247"/>
      <c r="L73" s="186">
        <v>43969</v>
      </c>
      <c r="M73" s="192">
        <v>2300000</v>
      </c>
    </row>
    <row r="74" spans="1:13" ht="15" hidden="1" customHeight="1" x14ac:dyDescent="0.25">
      <c r="A74" s="191">
        <v>55</v>
      </c>
      <c r="B74" s="344" t="s">
        <v>368</v>
      </c>
      <c r="C74" s="146">
        <v>56</v>
      </c>
      <c r="D74" s="191"/>
      <c r="E74" s="196" t="s">
        <v>87</v>
      </c>
      <c r="F74" s="183" t="s">
        <v>426</v>
      </c>
      <c r="G74" s="183" t="s">
        <v>427</v>
      </c>
      <c r="H74" s="198">
        <v>101211179975</v>
      </c>
      <c r="I74" s="185" t="s">
        <v>428</v>
      </c>
      <c r="J74" s="146" t="s">
        <v>429</v>
      </c>
      <c r="K74" s="247"/>
      <c r="L74" s="186">
        <v>43970</v>
      </c>
      <c r="M74" s="192">
        <f>12250000/5</f>
        <v>2450000</v>
      </c>
    </row>
    <row r="75" spans="1:13" hidden="1" x14ac:dyDescent="0.25">
      <c r="A75" s="191"/>
      <c r="B75" s="344" t="s">
        <v>736</v>
      </c>
      <c r="C75" s="191">
        <v>58</v>
      </c>
      <c r="D75" s="191"/>
      <c r="E75" s="190" t="s">
        <v>735</v>
      </c>
      <c r="F75" s="183" t="s">
        <v>750</v>
      </c>
      <c r="G75" s="183" t="s">
        <v>751</v>
      </c>
      <c r="H75" s="184">
        <v>102251188336</v>
      </c>
      <c r="I75" s="185"/>
      <c r="J75" s="146" t="s">
        <v>734</v>
      </c>
      <c r="K75" s="247"/>
      <c r="L75" s="186">
        <v>43970</v>
      </c>
      <c r="M75" s="192"/>
    </row>
    <row r="76" spans="1:13" ht="15" hidden="1" customHeight="1" x14ac:dyDescent="0.25">
      <c r="A76" s="191">
        <v>32</v>
      </c>
      <c r="B76" s="344" t="s">
        <v>273</v>
      </c>
      <c r="C76" s="146">
        <v>59</v>
      </c>
      <c r="D76" s="191"/>
      <c r="E76" s="196" t="s">
        <v>271</v>
      </c>
      <c r="F76" s="183" t="s">
        <v>430</v>
      </c>
      <c r="G76" s="183" t="s">
        <v>431</v>
      </c>
      <c r="H76" s="198">
        <v>710011035835</v>
      </c>
      <c r="I76" s="185" t="s">
        <v>432</v>
      </c>
      <c r="J76" s="146" t="s">
        <v>433</v>
      </c>
      <c r="K76" s="247" t="s">
        <v>704</v>
      </c>
      <c r="L76" s="186">
        <v>43971</v>
      </c>
      <c r="M76" s="192">
        <f>22500000/5</f>
        <v>4500000</v>
      </c>
    </row>
    <row r="77" spans="1:13" ht="15" hidden="1" customHeight="1" x14ac:dyDescent="0.25">
      <c r="A77" s="191">
        <v>59</v>
      </c>
      <c r="B77" s="344" t="s">
        <v>371</v>
      </c>
      <c r="C77" s="146">
        <v>64</v>
      </c>
      <c r="D77" s="191"/>
      <c r="E77" s="196" t="s">
        <v>87</v>
      </c>
      <c r="F77" s="183" t="s">
        <v>634</v>
      </c>
      <c r="G77" s="183" t="s">
        <v>495</v>
      </c>
      <c r="H77" s="184">
        <v>101251103769</v>
      </c>
      <c r="I77" s="185" t="s">
        <v>496</v>
      </c>
      <c r="J77" s="146" t="s">
        <v>497</v>
      </c>
      <c r="K77" s="247"/>
      <c r="L77" s="186">
        <v>43973</v>
      </c>
      <c r="M77" s="192">
        <f>11250000/5</f>
        <v>2250000</v>
      </c>
    </row>
    <row r="78" spans="1:13" ht="15" hidden="1" customHeight="1" x14ac:dyDescent="0.25">
      <c r="A78" s="191">
        <v>69</v>
      </c>
      <c r="B78" s="344" t="s">
        <v>438</v>
      </c>
      <c r="C78" s="146"/>
      <c r="D78" s="191">
        <v>88</v>
      </c>
      <c r="E78" s="196" t="s">
        <v>87</v>
      </c>
      <c r="F78" s="183" t="s">
        <v>450</v>
      </c>
      <c r="G78" s="183" t="s">
        <v>451</v>
      </c>
      <c r="H78" s="198">
        <v>102091013196</v>
      </c>
      <c r="I78" s="185" t="s">
        <v>452</v>
      </c>
      <c r="J78" s="146" t="s">
        <v>453</v>
      </c>
      <c r="K78" s="247"/>
      <c r="L78" s="186">
        <v>43974</v>
      </c>
      <c r="M78" s="192">
        <f>11500000/5</f>
        <v>2300000</v>
      </c>
    </row>
    <row r="79" spans="1:13" ht="15" hidden="1" customHeight="1" x14ac:dyDescent="0.25">
      <c r="A79" s="191">
        <v>69</v>
      </c>
      <c r="B79" s="344" t="s">
        <v>438</v>
      </c>
      <c r="C79" s="146"/>
      <c r="D79" s="191"/>
      <c r="E79" s="196" t="s">
        <v>87</v>
      </c>
      <c r="F79" s="183" t="s">
        <v>469</v>
      </c>
      <c r="G79" s="183"/>
      <c r="H79" s="198">
        <v>312171007786</v>
      </c>
      <c r="I79" s="185" t="s">
        <v>470</v>
      </c>
      <c r="J79" s="146" t="s">
        <v>471</v>
      </c>
      <c r="K79" s="247" t="s">
        <v>690</v>
      </c>
      <c r="L79" s="186">
        <v>43975</v>
      </c>
      <c r="M79" s="192">
        <f>11500000/5</f>
        <v>2300000</v>
      </c>
    </row>
    <row r="80" spans="1:13" ht="15" hidden="1" customHeight="1" x14ac:dyDescent="0.25">
      <c r="A80" s="191">
        <v>79</v>
      </c>
      <c r="B80" s="344" t="s">
        <v>449</v>
      </c>
      <c r="C80" s="146">
        <v>70</v>
      </c>
      <c r="D80" s="191"/>
      <c r="E80" s="196" t="s">
        <v>436</v>
      </c>
      <c r="F80" s="183" t="s">
        <v>461</v>
      </c>
      <c r="G80" s="183" t="s">
        <v>462</v>
      </c>
      <c r="H80" s="184">
        <v>117011004307</v>
      </c>
      <c r="I80" s="185" t="s">
        <v>463</v>
      </c>
      <c r="J80" s="146" t="s">
        <v>464</v>
      </c>
      <c r="K80" s="247"/>
      <c r="L80" s="186">
        <v>43976</v>
      </c>
      <c r="M80" s="192">
        <f>17900000/5</f>
        <v>3580000</v>
      </c>
    </row>
    <row r="81" spans="1:23" hidden="1" x14ac:dyDescent="0.25">
      <c r="A81" s="191">
        <v>77</v>
      </c>
      <c r="B81" s="158" t="s">
        <v>448</v>
      </c>
      <c r="C81" s="146"/>
      <c r="D81" s="191">
        <v>44</v>
      </c>
      <c r="E81" s="201" t="s">
        <v>28</v>
      </c>
      <c r="F81" s="183" t="s">
        <v>450</v>
      </c>
      <c r="G81" s="183" t="s">
        <v>451</v>
      </c>
      <c r="H81" s="198">
        <v>102091013196</v>
      </c>
      <c r="I81" s="185" t="s">
        <v>452</v>
      </c>
      <c r="J81" s="146" t="s">
        <v>453</v>
      </c>
      <c r="K81" s="247"/>
      <c r="L81" s="186">
        <v>43976</v>
      </c>
      <c r="M81" s="192">
        <f>10400000/5</f>
        <v>2080000</v>
      </c>
    </row>
    <row r="82" spans="1:23" ht="15" hidden="1" customHeight="1" x14ac:dyDescent="0.25">
      <c r="A82" s="191">
        <v>85</v>
      </c>
      <c r="B82" s="344" t="s">
        <v>460</v>
      </c>
      <c r="C82" s="146"/>
      <c r="D82" s="191">
        <v>43</v>
      </c>
      <c r="E82" s="204" t="s">
        <v>435</v>
      </c>
      <c r="F82" s="183" t="s">
        <v>465</v>
      </c>
      <c r="G82" s="183" t="s">
        <v>466</v>
      </c>
      <c r="H82" s="184">
        <v>101241126688</v>
      </c>
      <c r="I82" s="185" t="s">
        <v>467</v>
      </c>
      <c r="J82" s="146" t="s">
        <v>468</v>
      </c>
      <c r="K82" s="247"/>
      <c r="L82" s="186">
        <v>43976</v>
      </c>
      <c r="M82" s="192">
        <f>17500000/5</f>
        <v>3500000</v>
      </c>
    </row>
    <row r="83" spans="1:23" ht="15" hidden="1" customHeight="1" x14ac:dyDescent="0.25">
      <c r="A83" s="191">
        <v>82</v>
      </c>
      <c r="B83" s="344" t="s">
        <v>457</v>
      </c>
      <c r="C83" s="146"/>
      <c r="D83" s="191">
        <v>45</v>
      </c>
      <c r="E83" s="196" t="s">
        <v>435</v>
      </c>
      <c r="F83" s="183" t="s">
        <v>472</v>
      </c>
      <c r="G83" s="183" t="s">
        <v>473</v>
      </c>
      <c r="H83" s="184">
        <v>101231143831</v>
      </c>
      <c r="I83" s="185" t="s">
        <v>474</v>
      </c>
      <c r="J83" s="146" t="s">
        <v>475</v>
      </c>
      <c r="K83" s="247"/>
      <c r="L83" s="186">
        <v>43978</v>
      </c>
      <c r="M83" s="192">
        <f>18300000/5</f>
        <v>3660000</v>
      </c>
    </row>
    <row r="84" spans="1:23" s="173" customFormat="1" ht="30" hidden="1" x14ac:dyDescent="0.25">
      <c r="A84" s="191">
        <v>70</v>
      </c>
      <c r="B84" s="344" t="s">
        <v>439</v>
      </c>
      <c r="C84" s="146" t="s">
        <v>638</v>
      </c>
      <c r="D84" s="191"/>
      <c r="E84" s="196" t="s">
        <v>87</v>
      </c>
      <c r="F84" s="183" t="s">
        <v>635</v>
      </c>
      <c r="G84" s="183" t="s">
        <v>636</v>
      </c>
      <c r="H84" s="184">
        <v>105011011468</v>
      </c>
      <c r="I84" s="185" t="s">
        <v>637</v>
      </c>
      <c r="J84" s="146"/>
      <c r="K84" s="247" t="s">
        <v>747</v>
      </c>
      <c r="L84" s="186">
        <v>43978</v>
      </c>
      <c r="M84" s="192"/>
    </row>
    <row r="85" spans="1:23" ht="15" hidden="1" customHeight="1" x14ac:dyDescent="0.25">
      <c r="A85" s="191">
        <v>65</v>
      </c>
      <c r="B85" s="344" t="s">
        <v>378</v>
      </c>
      <c r="C85" s="146" t="s">
        <v>638</v>
      </c>
      <c r="D85" s="191"/>
      <c r="E85" s="196" t="s">
        <v>87</v>
      </c>
      <c r="F85" s="183" t="s">
        <v>476</v>
      </c>
      <c r="G85" s="183" t="s">
        <v>477</v>
      </c>
      <c r="H85" s="184">
        <v>101251171830</v>
      </c>
      <c r="I85" s="185" t="s">
        <v>478</v>
      </c>
      <c r="J85" s="146" t="s">
        <v>479</v>
      </c>
      <c r="K85" s="247"/>
      <c r="L85" s="186">
        <v>43978</v>
      </c>
      <c r="M85" s="192">
        <f>10450000/5</f>
        <v>2090000</v>
      </c>
    </row>
    <row r="86" spans="1:23" ht="15" hidden="1" customHeight="1" x14ac:dyDescent="0.25">
      <c r="A86" s="191">
        <v>76</v>
      </c>
      <c r="B86" s="344" t="s">
        <v>447</v>
      </c>
      <c r="C86" s="146">
        <v>78</v>
      </c>
      <c r="D86" s="191"/>
      <c r="E86" s="196" t="s">
        <v>435</v>
      </c>
      <c r="F86" s="183" t="s">
        <v>418</v>
      </c>
      <c r="G86" s="183" t="s">
        <v>419</v>
      </c>
      <c r="H86" s="198">
        <v>117171020464</v>
      </c>
      <c r="I86" s="185" t="s">
        <v>420</v>
      </c>
      <c r="J86" s="146" t="s">
        <v>421</v>
      </c>
      <c r="K86" s="247"/>
      <c r="L86" s="186">
        <v>43979</v>
      </c>
      <c r="M86" s="192">
        <f>17500000/5</f>
        <v>3500000</v>
      </c>
    </row>
    <row r="87" spans="1:23" ht="15" hidden="1" customHeight="1" x14ac:dyDescent="0.25">
      <c r="A87" s="191">
        <v>20</v>
      </c>
      <c r="B87" s="158" t="s">
        <v>116</v>
      </c>
      <c r="C87" s="146">
        <v>49</v>
      </c>
      <c r="D87" s="191"/>
      <c r="E87" s="205" t="s">
        <v>141</v>
      </c>
      <c r="F87" s="210" t="s">
        <v>480</v>
      </c>
      <c r="G87" s="183" t="s">
        <v>481</v>
      </c>
      <c r="H87" s="184">
        <v>101251103605</v>
      </c>
      <c r="I87" s="185" t="s">
        <v>482</v>
      </c>
      <c r="J87" s="146" t="s">
        <v>483</v>
      </c>
      <c r="K87" s="247"/>
      <c r="L87" s="186">
        <v>43979</v>
      </c>
      <c r="M87" s="192">
        <f>17250000/5</f>
        <v>3450000</v>
      </c>
    </row>
    <row r="88" spans="1:23" ht="15" hidden="1" customHeight="1" x14ac:dyDescent="0.25">
      <c r="A88" s="191"/>
      <c r="B88" s="344" t="s">
        <v>640</v>
      </c>
      <c r="C88" s="146">
        <v>75</v>
      </c>
      <c r="D88" s="191"/>
      <c r="E88" s="196" t="s">
        <v>639</v>
      </c>
      <c r="F88" s="183" t="s">
        <v>484</v>
      </c>
      <c r="G88" s="183" t="s">
        <v>485</v>
      </c>
      <c r="H88" s="184">
        <v>115151001292</v>
      </c>
      <c r="I88" s="185" t="s">
        <v>486</v>
      </c>
      <c r="J88" s="146" t="s">
        <v>487</v>
      </c>
      <c r="K88" s="247"/>
      <c r="L88" s="186">
        <v>43981</v>
      </c>
      <c r="M88" s="192"/>
    </row>
    <row r="89" spans="1:23" ht="15" hidden="1" customHeight="1" x14ac:dyDescent="0.25">
      <c r="A89" s="191">
        <v>28</v>
      </c>
      <c r="B89" s="344" t="s">
        <v>218</v>
      </c>
      <c r="C89" s="146">
        <v>74</v>
      </c>
      <c r="D89" s="191"/>
      <c r="E89" s="196" t="s">
        <v>215</v>
      </c>
      <c r="F89" s="183" t="s">
        <v>488</v>
      </c>
      <c r="G89" s="183" t="s">
        <v>489</v>
      </c>
      <c r="H89" s="184">
        <v>203011029689</v>
      </c>
      <c r="I89" s="185" t="s">
        <v>490</v>
      </c>
      <c r="J89" s="146" t="s">
        <v>491</v>
      </c>
      <c r="K89" s="247" t="s">
        <v>742</v>
      </c>
      <c r="L89" s="186">
        <v>43979</v>
      </c>
      <c r="M89" s="192">
        <f>9500000/5</f>
        <v>1900000</v>
      </c>
      <c r="W89" s="189"/>
    </row>
    <row r="90" spans="1:23" ht="15" hidden="1" customHeight="1" x14ac:dyDescent="0.25">
      <c r="A90" s="191">
        <v>66</v>
      </c>
      <c r="B90" s="344" t="s">
        <v>441</v>
      </c>
      <c r="C90" s="146">
        <v>80</v>
      </c>
      <c r="D90" s="191"/>
      <c r="E90" s="196" t="s">
        <v>435</v>
      </c>
      <c r="F90" s="183" t="s">
        <v>502</v>
      </c>
      <c r="G90" s="183" t="s">
        <v>503</v>
      </c>
      <c r="H90" s="184">
        <v>103051009372</v>
      </c>
      <c r="I90" s="185" t="s">
        <v>504</v>
      </c>
      <c r="J90" s="146" t="s">
        <v>505</v>
      </c>
      <c r="K90" s="247"/>
      <c r="L90" s="186">
        <v>43980</v>
      </c>
      <c r="M90" s="192">
        <f>17900000/5</f>
        <v>3580000</v>
      </c>
    </row>
    <row r="91" spans="1:23" ht="15" hidden="1" customHeight="1" x14ac:dyDescent="0.25">
      <c r="A91" s="191">
        <v>73</v>
      </c>
      <c r="B91" s="344" t="s">
        <v>443</v>
      </c>
      <c r="C91" s="146">
        <v>82</v>
      </c>
      <c r="D91" s="191"/>
      <c r="E91" s="196" t="s">
        <v>435</v>
      </c>
      <c r="F91" s="183" t="s">
        <v>509</v>
      </c>
      <c r="G91" s="183" t="s">
        <v>510</v>
      </c>
      <c r="H91" s="184">
        <v>102011015495</v>
      </c>
      <c r="I91" s="185" t="s">
        <v>511</v>
      </c>
      <c r="J91" s="146" t="s">
        <v>512</v>
      </c>
      <c r="K91" s="247"/>
      <c r="L91" s="186">
        <v>43981</v>
      </c>
      <c r="M91" s="192">
        <f>17300000/5</f>
        <v>3460000</v>
      </c>
    </row>
    <row r="92" spans="1:23" ht="15" hidden="1" customHeight="1" x14ac:dyDescent="0.25">
      <c r="A92" s="191">
        <v>67</v>
      </c>
      <c r="B92" s="344" t="s">
        <v>442</v>
      </c>
      <c r="C92" s="146">
        <v>81</v>
      </c>
      <c r="D92" s="191"/>
      <c r="E92" s="196" t="s">
        <v>435</v>
      </c>
      <c r="F92" s="183" t="s">
        <v>513</v>
      </c>
      <c r="G92" s="183" t="s">
        <v>514</v>
      </c>
      <c r="H92" s="184">
        <v>102091000622</v>
      </c>
      <c r="I92" s="185" t="s">
        <v>515</v>
      </c>
      <c r="J92" s="146" t="s">
        <v>516</v>
      </c>
      <c r="K92" s="247"/>
      <c r="L92" s="186">
        <v>43981</v>
      </c>
      <c r="M92" s="192">
        <f>17700000/5</f>
        <v>3540000</v>
      </c>
    </row>
    <row r="93" spans="1:23" ht="15" hidden="1" customHeight="1" x14ac:dyDescent="0.25">
      <c r="A93" s="191">
        <v>87</v>
      </c>
      <c r="B93" s="158" t="s">
        <v>521</v>
      </c>
      <c r="C93" s="146">
        <v>83</v>
      </c>
      <c r="D93" s="191"/>
      <c r="E93" s="205" t="s">
        <v>520</v>
      </c>
      <c r="F93" s="183" t="s">
        <v>522</v>
      </c>
      <c r="G93" s="183" t="s">
        <v>523</v>
      </c>
      <c r="H93" s="184">
        <v>112151007829</v>
      </c>
      <c r="I93" s="185" t="s">
        <v>524</v>
      </c>
      <c r="J93" s="146" t="s">
        <v>525</v>
      </c>
      <c r="K93" s="247"/>
      <c r="L93" s="186">
        <v>43983</v>
      </c>
      <c r="M93" s="192">
        <f>15250000/5</f>
        <v>3050000</v>
      </c>
    </row>
    <row r="94" spans="1:23" ht="15" hidden="1" customHeight="1" x14ac:dyDescent="0.25">
      <c r="A94" s="191">
        <v>85</v>
      </c>
      <c r="B94" s="344" t="s">
        <v>460</v>
      </c>
      <c r="C94" s="146">
        <v>85</v>
      </c>
      <c r="D94" s="191" t="s">
        <v>586</v>
      </c>
      <c r="E94" s="204" t="s">
        <v>435</v>
      </c>
      <c r="F94" s="183" t="s">
        <v>641</v>
      </c>
      <c r="G94" s="183"/>
      <c r="H94" s="184">
        <v>50899100442</v>
      </c>
      <c r="I94" s="185" t="s">
        <v>642</v>
      </c>
      <c r="J94" s="146" t="s">
        <v>643</v>
      </c>
      <c r="K94" s="247" t="s">
        <v>748</v>
      </c>
      <c r="L94" s="186">
        <v>43984</v>
      </c>
      <c r="M94" s="192">
        <f>17500000/5</f>
        <v>3500000</v>
      </c>
    </row>
    <row r="95" spans="1:23" ht="15" hidden="1" customHeight="1" x14ac:dyDescent="0.25">
      <c r="A95" s="191">
        <v>71</v>
      </c>
      <c r="B95" s="158" t="s">
        <v>440</v>
      </c>
      <c r="C95" s="146">
        <v>84</v>
      </c>
      <c r="D95" s="191"/>
      <c r="E95" s="201" t="s">
        <v>434</v>
      </c>
      <c r="F95" s="183" t="s">
        <v>78</v>
      </c>
      <c r="G95" s="183" t="s">
        <v>644</v>
      </c>
      <c r="H95" s="184">
        <v>117011013365</v>
      </c>
      <c r="I95" s="185" t="s">
        <v>645</v>
      </c>
      <c r="J95" s="146" t="s">
        <v>646</v>
      </c>
      <c r="K95" s="247" t="s">
        <v>693</v>
      </c>
      <c r="L95" s="186">
        <v>43984</v>
      </c>
      <c r="M95" s="192">
        <v>3600000</v>
      </c>
    </row>
    <row r="96" spans="1:23" ht="15" hidden="1" customHeight="1" x14ac:dyDescent="0.25">
      <c r="A96" s="191"/>
      <c r="B96" s="344" t="s">
        <v>2893</v>
      </c>
      <c r="C96" s="146"/>
      <c r="D96" s="191"/>
      <c r="E96" s="196"/>
      <c r="F96" s="183" t="s">
        <v>531</v>
      </c>
      <c r="G96" s="183"/>
      <c r="H96" s="184"/>
      <c r="I96" s="185"/>
      <c r="J96" s="146" t="s">
        <v>532</v>
      </c>
      <c r="K96" s="247"/>
      <c r="L96" s="186">
        <v>43988</v>
      </c>
      <c r="M96" s="192"/>
    </row>
    <row r="97" spans="1:13" ht="15" hidden="1" customHeight="1" x14ac:dyDescent="0.25">
      <c r="A97" s="191">
        <v>83</v>
      </c>
      <c r="B97" s="158" t="s">
        <v>458</v>
      </c>
      <c r="C97" s="146">
        <v>84</v>
      </c>
      <c r="D97" s="191"/>
      <c r="E97" s="205" t="s">
        <v>435</v>
      </c>
      <c r="F97" s="183" t="s">
        <v>539</v>
      </c>
      <c r="G97" s="183" t="s">
        <v>540</v>
      </c>
      <c r="H97" s="184">
        <v>214092004794</v>
      </c>
      <c r="I97" s="185" t="s">
        <v>541</v>
      </c>
      <c r="J97" s="146" t="s">
        <v>542</v>
      </c>
      <c r="K97" s="247"/>
      <c r="L97" s="186">
        <v>43988</v>
      </c>
      <c r="M97" s="192">
        <f>16500000/5</f>
        <v>3300000</v>
      </c>
    </row>
    <row r="98" spans="1:13" hidden="1" x14ac:dyDescent="0.25">
      <c r="A98" s="191">
        <v>91</v>
      </c>
      <c r="B98" s="158" t="s">
        <v>535</v>
      </c>
      <c r="C98" s="191"/>
      <c r="D98" s="191">
        <v>50</v>
      </c>
      <c r="E98" s="205" t="s">
        <v>309</v>
      </c>
      <c r="F98" s="183" t="s">
        <v>92</v>
      </c>
      <c r="G98" s="183" t="s">
        <v>93</v>
      </c>
      <c r="H98" s="184">
        <v>110051004731</v>
      </c>
      <c r="I98" s="185" t="s">
        <v>94</v>
      </c>
      <c r="J98" s="193" t="s">
        <v>348</v>
      </c>
      <c r="K98" s="248"/>
      <c r="L98" s="186">
        <v>43988</v>
      </c>
      <c r="M98" s="192">
        <f>22800000/5</f>
        <v>4560000</v>
      </c>
    </row>
    <row r="99" spans="1:13" hidden="1" x14ac:dyDescent="0.25">
      <c r="A99" s="191">
        <v>75</v>
      </c>
      <c r="B99" s="158" t="s">
        <v>446</v>
      </c>
      <c r="C99" s="191"/>
      <c r="D99" s="191">
        <v>47</v>
      </c>
      <c r="E99" s="205" t="s">
        <v>435</v>
      </c>
      <c r="F99" s="206" t="s">
        <v>465</v>
      </c>
      <c r="G99" s="206" t="s">
        <v>466</v>
      </c>
      <c r="H99" s="207">
        <v>101241126688</v>
      </c>
      <c r="I99" s="202" t="s">
        <v>467</v>
      </c>
      <c r="J99" s="146" t="s">
        <v>468</v>
      </c>
      <c r="K99" s="247"/>
      <c r="L99" s="186">
        <v>43984</v>
      </c>
      <c r="M99" s="192">
        <f>17000000/5</f>
        <v>3400000</v>
      </c>
    </row>
    <row r="100" spans="1:13" ht="15" hidden="1" customHeight="1" x14ac:dyDescent="0.25">
      <c r="A100" s="191">
        <v>62</v>
      </c>
      <c r="B100" s="158" t="s">
        <v>375</v>
      </c>
      <c r="C100" s="146">
        <v>91</v>
      </c>
      <c r="D100" s="191"/>
      <c r="E100" s="201" t="s">
        <v>87</v>
      </c>
      <c r="F100" s="183" t="s">
        <v>539</v>
      </c>
      <c r="G100" s="183" t="s">
        <v>647</v>
      </c>
      <c r="H100" s="184">
        <v>101251167644</v>
      </c>
      <c r="I100" s="185" t="s">
        <v>648</v>
      </c>
      <c r="J100" s="146" t="s">
        <v>649</v>
      </c>
      <c r="K100" s="247" t="s">
        <v>746</v>
      </c>
      <c r="L100" s="186">
        <v>43989</v>
      </c>
      <c r="M100" s="192"/>
    </row>
    <row r="101" spans="1:13" ht="15" hidden="1" customHeight="1" x14ac:dyDescent="0.25">
      <c r="A101" s="191">
        <v>57</v>
      </c>
      <c r="B101" s="344" t="s">
        <v>370</v>
      </c>
      <c r="C101" s="146">
        <v>92</v>
      </c>
      <c r="D101" s="191"/>
      <c r="E101" s="196" t="s">
        <v>87</v>
      </c>
      <c r="F101" s="183" t="s">
        <v>544</v>
      </c>
      <c r="G101" s="183" t="s">
        <v>545</v>
      </c>
      <c r="H101" s="184">
        <v>117271007531</v>
      </c>
      <c r="I101" s="185" t="s">
        <v>546</v>
      </c>
      <c r="J101" s="146" t="s">
        <v>547</v>
      </c>
      <c r="K101" s="247" t="s">
        <v>745</v>
      </c>
      <c r="L101" s="186">
        <v>43990</v>
      </c>
      <c r="M101" s="192">
        <v>2500000</v>
      </c>
    </row>
    <row r="102" spans="1:13" ht="15" hidden="1" customHeight="1" x14ac:dyDescent="0.25">
      <c r="A102" s="191">
        <v>39</v>
      </c>
      <c r="B102" s="158" t="s">
        <v>307</v>
      </c>
      <c r="C102" s="146">
        <v>94</v>
      </c>
      <c r="D102" s="191"/>
      <c r="E102" s="205" t="s">
        <v>305</v>
      </c>
      <c r="F102" s="183" t="s">
        <v>552</v>
      </c>
      <c r="G102" s="183" t="s">
        <v>553</v>
      </c>
      <c r="H102" s="184">
        <v>101241091565</v>
      </c>
      <c r="I102" s="185" t="s">
        <v>554</v>
      </c>
      <c r="J102" s="146" t="s">
        <v>555</v>
      </c>
      <c r="K102" s="247"/>
      <c r="L102" s="186">
        <v>43990</v>
      </c>
      <c r="M102" s="192">
        <v>3400000</v>
      </c>
    </row>
    <row r="103" spans="1:13" ht="15" hidden="1" customHeight="1" x14ac:dyDescent="0.25">
      <c r="A103" s="191">
        <v>84</v>
      </c>
      <c r="B103" s="158" t="s">
        <v>459</v>
      </c>
      <c r="C103" s="146">
        <v>90</v>
      </c>
      <c r="D103" s="191"/>
      <c r="E103" s="205" t="s">
        <v>435</v>
      </c>
      <c r="F103" s="183" t="s">
        <v>650</v>
      </c>
      <c r="G103" s="183" t="s">
        <v>651</v>
      </c>
      <c r="H103" s="184">
        <v>101211126173</v>
      </c>
      <c r="I103" s="185" t="s">
        <v>652</v>
      </c>
      <c r="J103" s="146" t="s">
        <v>653</v>
      </c>
      <c r="K103" s="247"/>
      <c r="L103" s="186">
        <v>43988</v>
      </c>
      <c r="M103" s="192">
        <v>3600000</v>
      </c>
    </row>
    <row r="104" spans="1:13" ht="15" hidden="1" customHeight="1" x14ac:dyDescent="0.25">
      <c r="A104" s="191"/>
      <c r="B104" s="344" t="s">
        <v>2894</v>
      </c>
      <c r="C104" s="146"/>
      <c r="D104" s="191"/>
      <c r="E104" s="196"/>
      <c r="F104" s="183" t="s">
        <v>654</v>
      </c>
      <c r="G104" s="183" t="s">
        <v>556</v>
      </c>
      <c r="H104" s="184">
        <v>101251181263</v>
      </c>
      <c r="I104" s="185" t="s">
        <v>655</v>
      </c>
      <c r="J104" s="146" t="s">
        <v>557</v>
      </c>
      <c r="K104" s="247"/>
      <c r="L104" s="186"/>
      <c r="M104" s="192"/>
    </row>
    <row r="105" spans="1:13" ht="15" hidden="1" customHeight="1" x14ac:dyDescent="0.25">
      <c r="A105" s="191">
        <v>74</v>
      </c>
      <c r="B105" s="158" t="s">
        <v>445</v>
      </c>
      <c r="C105" s="146">
        <v>96</v>
      </c>
      <c r="D105" s="191"/>
      <c r="E105" s="205" t="s">
        <v>435</v>
      </c>
      <c r="F105" s="183" t="s">
        <v>561</v>
      </c>
      <c r="G105" s="183" t="s">
        <v>562</v>
      </c>
      <c r="H105" s="184">
        <v>515012049029</v>
      </c>
      <c r="I105" s="185" t="s">
        <v>563</v>
      </c>
      <c r="J105" s="146" t="s">
        <v>564</v>
      </c>
      <c r="K105" s="247"/>
      <c r="L105" s="186">
        <v>43991</v>
      </c>
      <c r="M105" s="192">
        <f>17250000/5</f>
        <v>3450000</v>
      </c>
    </row>
    <row r="106" spans="1:13" ht="15" hidden="1" customHeight="1" x14ac:dyDescent="0.25">
      <c r="A106" s="191">
        <v>75</v>
      </c>
      <c r="B106" s="158" t="s">
        <v>446</v>
      </c>
      <c r="C106" s="146">
        <v>100</v>
      </c>
      <c r="D106" s="191"/>
      <c r="E106" s="205" t="s">
        <v>435</v>
      </c>
      <c r="F106" s="183" t="s">
        <v>656</v>
      </c>
      <c r="G106" s="183" t="s">
        <v>657</v>
      </c>
      <c r="H106" s="184">
        <v>101251182989</v>
      </c>
      <c r="I106" s="185" t="s">
        <v>658</v>
      </c>
      <c r="J106" s="146"/>
      <c r="K106" s="247" t="s">
        <v>748</v>
      </c>
      <c r="L106" s="186">
        <v>43991</v>
      </c>
      <c r="M106" s="192">
        <v>3400000</v>
      </c>
    </row>
    <row r="107" spans="1:13" ht="15" hidden="1" customHeight="1" x14ac:dyDescent="0.25">
      <c r="A107" s="191">
        <v>81</v>
      </c>
      <c r="B107" s="158" t="s">
        <v>456</v>
      </c>
      <c r="C107" s="146">
        <v>98</v>
      </c>
      <c r="D107" s="191"/>
      <c r="E107" s="205" t="s">
        <v>435</v>
      </c>
      <c r="F107" s="183" t="s">
        <v>565</v>
      </c>
      <c r="G107" s="183" t="s">
        <v>566</v>
      </c>
      <c r="H107" s="184">
        <v>102091020905</v>
      </c>
      <c r="I107" s="185" t="s">
        <v>567</v>
      </c>
      <c r="J107" s="146" t="s">
        <v>527</v>
      </c>
      <c r="K107" s="247"/>
      <c r="L107" s="186">
        <v>43992</v>
      </c>
      <c r="M107" s="192">
        <f>19500000/5</f>
        <v>3900000</v>
      </c>
    </row>
    <row r="108" spans="1:13" ht="15" hidden="1" customHeight="1" x14ac:dyDescent="0.25">
      <c r="A108" s="191">
        <v>92</v>
      </c>
      <c r="B108" s="158" t="s">
        <v>536</v>
      </c>
      <c r="C108" s="191"/>
      <c r="D108" s="191">
        <v>48</v>
      </c>
      <c r="E108" s="205" t="s">
        <v>87</v>
      </c>
      <c r="F108" s="183" t="s">
        <v>659</v>
      </c>
      <c r="G108" s="183" t="s">
        <v>660</v>
      </c>
      <c r="H108" s="184">
        <v>108091014368</v>
      </c>
      <c r="I108" s="185" t="s">
        <v>661</v>
      </c>
      <c r="J108" s="146" t="s">
        <v>662</v>
      </c>
      <c r="K108" s="247"/>
      <c r="L108" s="186">
        <v>43988</v>
      </c>
      <c r="M108" s="192">
        <f>13250000/5</f>
        <v>2650000</v>
      </c>
    </row>
    <row r="109" spans="1:13" hidden="1" x14ac:dyDescent="0.25">
      <c r="A109" s="191">
        <v>94</v>
      </c>
      <c r="B109" s="158" t="s">
        <v>538</v>
      </c>
      <c r="C109" s="191"/>
      <c r="D109" s="191">
        <v>49</v>
      </c>
      <c r="E109" s="205" t="s">
        <v>87</v>
      </c>
      <c r="F109" s="183" t="s">
        <v>659</v>
      </c>
      <c r="G109" s="183" t="s">
        <v>660</v>
      </c>
      <c r="H109" s="184">
        <v>108091014368</v>
      </c>
      <c r="I109" s="185" t="s">
        <v>661</v>
      </c>
      <c r="J109" s="146" t="s">
        <v>662</v>
      </c>
      <c r="K109" s="247"/>
      <c r="L109" s="186">
        <v>43994</v>
      </c>
      <c r="M109" s="192">
        <f>12000000/5</f>
        <v>2400000</v>
      </c>
    </row>
    <row r="110" spans="1:13" hidden="1" x14ac:dyDescent="0.25">
      <c r="A110" s="191">
        <v>93</v>
      </c>
      <c r="B110" s="158" t="s">
        <v>537</v>
      </c>
      <c r="C110" s="191"/>
      <c r="D110" s="191">
        <v>53</v>
      </c>
      <c r="E110" s="205" t="s">
        <v>87</v>
      </c>
      <c r="F110" s="183" t="s">
        <v>450</v>
      </c>
      <c r="G110" s="183" t="s">
        <v>451</v>
      </c>
      <c r="H110" s="184">
        <v>102091013196</v>
      </c>
      <c r="I110" s="185" t="s">
        <v>452</v>
      </c>
      <c r="J110" s="146" t="s">
        <v>453</v>
      </c>
      <c r="K110" s="247"/>
      <c r="L110" s="195">
        <v>43990</v>
      </c>
      <c r="M110" s="192">
        <f>11450000/5</f>
        <v>2290000</v>
      </c>
    </row>
    <row r="111" spans="1:13" hidden="1" x14ac:dyDescent="0.25">
      <c r="A111" s="191">
        <v>95</v>
      </c>
      <c r="B111" s="158" t="s">
        <v>569</v>
      </c>
      <c r="C111" s="191"/>
      <c r="D111" s="191">
        <v>54</v>
      </c>
      <c r="E111" s="205" t="s">
        <v>570</v>
      </c>
      <c r="F111" s="183" t="s">
        <v>571</v>
      </c>
      <c r="G111" s="183" t="s">
        <v>556</v>
      </c>
      <c r="H111" s="184">
        <v>101251181263</v>
      </c>
      <c r="I111" s="185" t="s">
        <v>572</v>
      </c>
      <c r="J111" s="146" t="s">
        <v>557</v>
      </c>
      <c r="K111" s="247"/>
      <c r="L111" s="195">
        <v>43994</v>
      </c>
      <c r="M111" s="192">
        <v>3400000</v>
      </c>
    </row>
    <row r="112" spans="1:13" hidden="1" x14ac:dyDescent="0.25">
      <c r="A112" s="191">
        <v>89</v>
      </c>
      <c r="B112" s="158" t="s">
        <v>530</v>
      </c>
      <c r="C112" s="191"/>
      <c r="D112" s="191">
        <v>51</v>
      </c>
      <c r="E112" s="205" t="s">
        <v>87</v>
      </c>
      <c r="F112" s="183" t="s">
        <v>571</v>
      </c>
      <c r="G112" s="183" t="s">
        <v>556</v>
      </c>
      <c r="H112" s="184">
        <v>101251181263</v>
      </c>
      <c r="I112" s="185" t="s">
        <v>572</v>
      </c>
      <c r="J112" s="146" t="s">
        <v>557</v>
      </c>
      <c r="K112" s="247"/>
      <c r="L112" s="186">
        <v>43990</v>
      </c>
      <c r="M112" s="192">
        <f>15250000/5</f>
        <v>3050000</v>
      </c>
    </row>
    <row r="113" spans="1:13" hidden="1" x14ac:dyDescent="0.25">
      <c r="A113" s="191">
        <v>90</v>
      </c>
      <c r="B113" s="158" t="s">
        <v>534</v>
      </c>
      <c r="C113" s="191"/>
      <c r="D113" s="191">
        <v>52</v>
      </c>
      <c r="E113" s="205" t="s">
        <v>309</v>
      </c>
      <c r="F113" s="183" t="s">
        <v>571</v>
      </c>
      <c r="G113" s="183" t="s">
        <v>556</v>
      </c>
      <c r="H113" s="184">
        <v>101251181263</v>
      </c>
      <c r="I113" s="185" t="s">
        <v>572</v>
      </c>
      <c r="J113" s="146" t="s">
        <v>557</v>
      </c>
      <c r="K113" s="247"/>
      <c r="L113" s="186">
        <v>43990</v>
      </c>
      <c r="M113" s="192">
        <v>3250000</v>
      </c>
    </row>
    <row r="114" spans="1:13" ht="30" hidden="1" x14ac:dyDescent="0.25">
      <c r="A114" s="191">
        <v>89</v>
      </c>
      <c r="B114" s="158" t="s">
        <v>530</v>
      </c>
      <c r="C114" s="191">
        <v>99</v>
      </c>
      <c r="D114" s="191"/>
      <c r="E114" s="205" t="s">
        <v>87</v>
      </c>
      <c r="F114" s="183" t="s">
        <v>650</v>
      </c>
      <c r="G114" s="183" t="s">
        <v>663</v>
      </c>
      <c r="H114" s="184">
        <v>103051012078</v>
      </c>
      <c r="I114" s="185" t="s">
        <v>664</v>
      </c>
      <c r="J114" s="146"/>
      <c r="K114" s="247" t="s">
        <v>749</v>
      </c>
      <c r="L114" s="186">
        <v>43993</v>
      </c>
      <c r="M114" s="192">
        <f>15250000/5</f>
        <v>3050000</v>
      </c>
    </row>
    <row r="115" spans="1:13" hidden="1" x14ac:dyDescent="0.25">
      <c r="A115" s="191">
        <v>72</v>
      </c>
      <c r="B115" s="158" t="s">
        <v>444</v>
      </c>
      <c r="C115" s="191"/>
      <c r="D115" s="191">
        <v>55</v>
      </c>
      <c r="E115" s="205" t="s">
        <v>435</v>
      </c>
      <c r="F115" s="183" t="s">
        <v>573</v>
      </c>
      <c r="G115" s="183" t="s">
        <v>574</v>
      </c>
      <c r="H115" s="184">
        <v>102031003928</v>
      </c>
      <c r="I115" s="185" t="s">
        <v>665</v>
      </c>
      <c r="J115" s="146" t="s">
        <v>575</v>
      </c>
      <c r="K115" s="247"/>
      <c r="L115" s="186"/>
      <c r="M115" s="192">
        <v>3400000</v>
      </c>
    </row>
    <row r="116" spans="1:13" hidden="1" x14ac:dyDescent="0.25">
      <c r="A116" s="191">
        <v>52</v>
      </c>
      <c r="B116" s="158" t="s">
        <v>365</v>
      </c>
      <c r="C116" s="191">
        <v>102</v>
      </c>
      <c r="D116" s="191" t="s">
        <v>670</v>
      </c>
      <c r="E116" s="201" t="s">
        <v>305</v>
      </c>
      <c r="F116" s="183" t="s">
        <v>666</v>
      </c>
      <c r="G116" s="183" t="s">
        <v>667</v>
      </c>
      <c r="H116" s="184">
        <v>102091008681</v>
      </c>
      <c r="I116" s="185" t="s">
        <v>668</v>
      </c>
      <c r="J116" s="146" t="s">
        <v>669</v>
      </c>
      <c r="K116" s="247" t="s">
        <v>691</v>
      </c>
      <c r="L116" s="186">
        <v>43997</v>
      </c>
      <c r="M116" s="192">
        <v>3400000</v>
      </c>
    </row>
    <row r="117" spans="1:13" s="173" customFormat="1" hidden="1" x14ac:dyDescent="0.25">
      <c r="A117" s="191">
        <v>93</v>
      </c>
      <c r="B117" s="344" t="s">
        <v>537</v>
      </c>
      <c r="C117" s="191">
        <v>103</v>
      </c>
      <c r="D117" s="191" t="s">
        <v>674</v>
      </c>
      <c r="E117" s="196" t="s">
        <v>87</v>
      </c>
      <c r="F117" s="183" t="s">
        <v>671</v>
      </c>
      <c r="G117" s="183" t="s">
        <v>672</v>
      </c>
      <c r="H117" s="184">
        <v>401031049614</v>
      </c>
      <c r="I117" s="185" t="s">
        <v>673</v>
      </c>
      <c r="J117" s="146"/>
      <c r="K117" s="247" t="s">
        <v>690</v>
      </c>
      <c r="L117" s="186">
        <v>43997</v>
      </c>
      <c r="M117" s="192">
        <v>2500000</v>
      </c>
    </row>
    <row r="118" spans="1:13" s="173" customFormat="1" ht="30" hidden="1" x14ac:dyDescent="0.25">
      <c r="A118" s="191">
        <v>95</v>
      </c>
      <c r="B118" s="344" t="s">
        <v>569</v>
      </c>
      <c r="C118" s="191">
        <v>104</v>
      </c>
      <c r="D118" s="191" t="s">
        <v>689</v>
      </c>
      <c r="E118" s="196" t="s">
        <v>570</v>
      </c>
      <c r="F118" s="183" t="s">
        <v>685</v>
      </c>
      <c r="G118" s="183" t="s">
        <v>686</v>
      </c>
      <c r="H118" s="184">
        <v>117311008760</v>
      </c>
      <c r="I118" s="185" t="s">
        <v>687</v>
      </c>
      <c r="J118" s="146" t="s">
        <v>688</v>
      </c>
      <c r="K118" s="247" t="s">
        <v>692</v>
      </c>
      <c r="L118" s="186">
        <v>43998</v>
      </c>
      <c r="M118" s="192">
        <v>3500000</v>
      </c>
    </row>
    <row r="119" spans="1:13" hidden="1" x14ac:dyDescent="0.25">
      <c r="A119" s="191">
        <v>54</v>
      </c>
      <c r="B119" s="380" t="s">
        <v>367</v>
      </c>
      <c r="C119" s="191">
        <v>105</v>
      </c>
      <c r="D119" s="191" t="s">
        <v>697</v>
      </c>
      <c r="E119" s="201" t="s">
        <v>305</v>
      </c>
      <c r="F119" s="183" t="s">
        <v>615</v>
      </c>
      <c r="G119" s="183" t="s">
        <v>694</v>
      </c>
      <c r="H119" s="184">
        <v>117311014763</v>
      </c>
      <c r="I119" s="185" t="s">
        <v>695</v>
      </c>
      <c r="J119" s="146" t="s">
        <v>696</v>
      </c>
      <c r="K119" s="247" t="s">
        <v>691</v>
      </c>
      <c r="L119" s="186">
        <v>43999</v>
      </c>
      <c r="M119" s="192">
        <v>4200000</v>
      </c>
    </row>
    <row r="120" spans="1:13" hidden="1" x14ac:dyDescent="0.25">
      <c r="A120" s="191">
        <v>44</v>
      </c>
      <c r="B120" s="158" t="s">
        <v>311</v>
      </c>
      <c r="C120" s="146" t="s">
        <v>586</v>
      </c>
      <c r="D120" s="191" t="s">
        <v>705</v>
      </c>
      <c r="E120" s="201" t="s">
        <v>309</v>
      </c>
      <c r="F120" s="183" t="s">
        <v>701</v>
      </c>
      <c r="G120" s="183" t="s">
        <v>702</v>
      </c>
      <c r="H120" s="184">
        <v>101231129150</v>
      </c>
      <c r="I120" s="185" t="s">
        <v>703</v>
      </c>
      <c r="J120" s="146"/>
      <c r="K120" s="247" t="s">
        <v>704</v>
      </c>
      <c r="L120" s="186">
        <v>44001</v>
      </c>
      <c r="M120" s="192">
        <f>22750000/5</f>
        <v>4550000</v>
      </c>
    </row>
    <row r="121" spans="1:13" hidden="1" x14ac:dyDescent="0.25">
      <c r="A121" s="191"/>
      <c r="B121" s="344" t="s">
        <v>731</v>
      </c>
      <c r="C121" s="191">
        <v>106</v>
      </c>
      <c r="D121" s="191"/>
      <c r="E121" s="190" t="s">
        <v>520</v>
      </c>
      <c r="F121" s="196" t="s">
        <v>726</v>
      </c>
      <c r="G121" s="196" t="s">
        <v>727</v>
      </c>
      <c r="H121" s="244">
        <v>301051014625</v>
      </c>
      <c r="I121" s="190" t="s">
        <v>729</v>
      </c>
      <c r="J121" s="194" t="s">
        <v>728</v>
      </c>
      <c r="K121" s="247" t="s">
        <v>730</v>
      </c>
      <c r="L121" s="186">
        <v>44000</v>
      </c>
      <c r="M121" s="192"/>
    </row>
    <row r="122" spans="1:13" ht="69.75" hidden="1" customHeight="1" x14ac:dyDescent="0.25">
      <c r="A122" s="191"/>
      <c r="B122" s="319" t="s">
        <v>733</v>
      </c>
      <c r="C122" s="191"/>
      <c r="D122" s="191"/>
      <c r="E122" s="190" t="s">
        <v>732</v>
      </c>
      <c r="F122" s="196" t="s">
        <v>726</v>
      </c>
      <c r="G122" s="196" t="s">
        <v>727</v>
      </c>
      <c r="H122" s="244">
        <v>301051014625</v>
      </c>
      <c r="I122" s="190" t="s">
        <v>729</v>
      </c>
      <c r="J122" s="194" t="s">
        <v>728</v>
      </c>
      <c r="K122" s="247" t="s">
        <v>730</v>
      </c>
      <c r="L122" s="186"/>
      <c r="M122" s="192"/>
    </row>
    <row r="123" spans="1:13" hidden="1" x14ac:dyDescent="0.25">
      <c r="A123" s="191">
        <v>91</v>
      </c>
      <c r="B123" s="344" t="s">
        <v>535</v>
      </c>
      <c r="C123" s="191">
        <v>112</v>
      </c>
      <c r="D123" s="191" t="s">
        <v>741</v>
      </c>
      <c r="E123" s="190" t="s">
        <v>309</v>
      </c>
      <c r="F123" s="183" t="s">
        <v>737</v>
      </c>
      <c r="G123" s="183" t="s">
        <v>738</v>
      </c>
      <c r="H123" s="184">
        <v>101251189670</v>
      </c>
      <c r="I123" s="185" t="s">
        <v>739</v>
      </c>
      <c r="J123" s="146" t="s">
        <v>740</v>
      </c>
      <c r="K123" s="247" t="s">
        <v>693</v>
      </c>
      <c r="L123" s="186">
        <v>44006</v>
      </c>
      <c r="M123" s="192">
        <v>4560000</v>
      </c>
    </row>
    <row r="124" spans="1:13" hidden="1" x14ac:dyDescent="0.25">
      <c r="A124" s="191">
        <v>16</v>
      </c>
      <c r="B124" s="344" t="s">
        <v>20</v>
      </c>
      <c r="C124" s="191">
        <v>113</v>
      </c>
      <c r="D124" s="191"/>
      <c r="E124" s="190" t="s">
        <v>87</v>
      </c>
      <c r="F124" s="183" t="s">
        <v>752</v>
      </c>
      <c r="G124" s="183" t="s">
        <v>753</v>
      </c>
      <c r="H124" s="184">
        <v>101251188684</v>
      </c>
      <c r="I124" s="185" t="s">
        <v>754</v>
      </c>
      <c r="J124" s="146" t="s">
        <v>755</v>
      </c>
      <c r="K124" s="247" t="s">
        <v>756</v>
      </c>
      <c r="L124" s="186">
        <v>44005</v>
      </c>
      <c r="M124" s="192">
        <v>2900000</v>
      </c>
    </row>
    <row r="125" spans="1:13" x14ac:dyDescent="0.25">
      <c r="A125" s="191"/>
      <c r="B125" s="344" t="s">
        <v>778</v>
      </c>
      <c r="C125" s="191">
        <v>116</v>
      </c>
      <c r="D125" s="191"/>
      <c r="E125" s="190" t="s">
        <v>777</v>
      </c>
      <c r="F125" s="183" t="s">
        <v>773</v>
      </c>
      <c r="G125" s="183" t="s">
        <v>774</v>
      </c>
      <c r="H125" s="184">
        <v>102071014997</v>
      </c>
      <c r="I125" s="185" t="s">
        <v>776</v>
      </c>
      <c r="J125" s="146" t="s">
        <v>775</v>
      </c>
      <c r="K125" s="247"/>
      <c r="L125" s="186">
        <v>44014</v>
      </c>
      <c r="M125" s="192">
        <v>1250000</v>
      </c>
    </row>
    <row r="126" spans="1:13" x14ac:dyDescent="0.25">
      <c r="A126" s="191"/>
      <c r="B126" s="344" t="s">
        <v>839</v>
      </c>
      <c r="C126" s="191">
        <v>117</v>
      </c>
      <c r="D126" s="191"/>
      <c r="E126" s="190" t="s">
        <v>777</v>
      </c>
      <c r="F126" s="183" t="s">
        <v>836</v>
      </c>
      <c r="G126" s="183" t="s">
        <v>83</v>
      </c>
      <c r="H126" s="184">
        <v>117071008416</v>
      </c>
      <c r="I126" s="185" t="s">
        <v>837</v>
      </c>
      <c r="J126" s="146" t="s">
        <v>838</v>
      </c>
      <c r="K126" s="247"/>
      <c r="L126" s="186">
        <v>44015</v>
      </c>
      <c r="M126" s="192">
        <v>1250000</v>
      </c>
    </row>
    <row r="127" spans="1:13" hidden="1" x14ac:dyDescent="0.25">
      <c r="A127" s="191"/>
      <c r="B127" s="344" t="s">
        <v>863</v>
      </c>
      <c r="C127" s="191">
        <v>119</v>
      </c>
      <c r="D127" s="191"/>
      <c r="E127" s="190" t="s">
        <v>862</v>
      </c>
      <c r="F127" s="183" t="s">
        <v>858</v>
      </c>
      <c r="G127" s="183" t="s">
        <v>859</v>
      </c>
      <c r="H127" s="184">
        <v>102071018497</v>
      </c>
      <c r="I127" s="185" t="s">
        <v>860</v>
      </c>
      <c r="J127" s="146" t="s">
        <v>861</v>
      </c>
      <c r="K127" s="247"/>
      <c r="L127" s="186">
        <v>44015</v>
      </c>
      <c r="M127" s="192">
        <v>1600000</v>
      </c>
    </row>
    <row r="128" spans="1:13" hidden="1" x14ac:dyDescent="0.25">
      <c r="A128" s="191">
        <v>96</v>
      </c>
      <c r="B128" s="380" t="s">
        <v>763</v>
      </c>
      <c r="C128" s="191">
        <v>120</v>
      </c>
      <c r="D128" s="191"/>
      <c r="E128" s="272" t="s">
        <v>87</v>
      </c>
      <c r="F128" s="183" t="s">
        <v>864</v>
      </c>
      <c r="G128" s="263" t="s">
        <v>865</v>
      </c>
      <c r="H128" s="184">
        <v>101251118388</v>
      </c>
      <c r="I128" s="185" t="s">
        <v>866</v>
      </c>
      <c r="J128" s="146" t="s">
        <v>867</v>
      </c>
      <c r="K128" s="247"/>
      <c r="L128" s="186">
        <v>44016</v>
      </c>
      <c r="M128" s="192">
        <f>'DB_1,0'!G105/5</f>
        <v>3300000</v>
      </c>
    </row>
    <row r="129" spans="1:13" hidden="1" x14ac:dyDescent="0.25">
      <c r="A129" s="191">
        <v>101</v>
      </c>
      <c r="B129" s="158" t="s">
        <v>788</v>
      </c>
      <c r="C129" s="191">
        <v>123</v>
      </c>
      <c r="D129" s="191"/>
      <c r="E129" s="201" t="s">
        <v>833</v>
      </c>
      <c r="F129" s="183" t="s">
        <v>868</v>
      </c>
      <c r="G129" s="183" t="s">
        <v>869</v>
      </c>
      <c r="H129" s="184">
        <v>101231101838</v>
      </c>
      <c r="I129" s="185" t="s">
        <v>870</v>
      </c>
      <c r="J129" s="146" t="s">
        <v>871</v>
      </c>
      <c r="K129" s="247"/>
      <c r="L129" s="186">
        <v>44016</v>
      </c>
      <c r="M129" s="192">
        <f>'DB_1,0'!G110/5</f>
        <v>3200000</v>
      </c>
    </row>
    <row r="130" spans="1:13" hidden="1" x14ac:dyDescent="0.25">
      <c r="A130" s="191">
        <v>125</v>
      </c>
      <c r="B130" s="158" t="s">
        <v>810</v>
      </c>
      <c r="C130" s="191">
        <v>124</v>
      </c>
      <c r="D130" s="191"/>
      <c r="E130" s="201" t="s">
        <v>309</v>
      </c>
      <c r="F130" s="183" t="s">
        <v>872</v>
      </c>
      <c r="G130" s="183" t="s">
        <v>873</v>
      </c>
      <c r="H130" s="184">
        <v>313111011534</v>
      </c>
      <c r="I130" s="185" t="s">
        <v>874</v>
      </c>
      <c r="J130" s="146" t="s">
        <v>875</v>
      </c>
      <c r="K130" s="247"/>
      <c r="L130" s="186">
        <v>44016</v>
      </c>
      <c r="M130" s="192">
        <f>'DB_1,0'!G134/5</f>
        <v>3100000</v>
      </c>
    </row>
    <row r="131" spans="1:13" hidden="1" x14ac:dyDescent="0.25">
      <c r="A131" s="191">
        <v>122</v>
      </c>
      <c r="B131" s="158" t="s">
        <v>808</v>
      </c>
      <c r="C131" s="191"/>
      <c r="D131" s="191">
        <v>56</v>
      </c>
      <c r="E131" s="201" t="s">
        <v>87</v>
      </c>
      <c r="F131" s="183" t="s">
        <v>450</v>
      </c>
      <c r="G131" s="183" t="s">
        <v>451</v>
      </c>
      <c r="H131" s="184">
        <v>102091013196</v>
      </c>
      <c r="I131" s="185" t="s">
        <v>452</v>
      </c>
      <c r="J131" s="146" t="s">
        <v>453</v>
      </c>
      <c r="K131" s="247"/>
      <c r="L131" s="186">
        <v>44016</v>
      </c>
      <c r="M131" s="192">
        <f>'DB_1,0'!G126/5</f>
        <v>2250000</v>
      </c>
    </row>
    <row r="132" spans="1:13" hidden="1" x14ac:dyDescent="0.25">
      <c r="A132" s="191">
        <v>98</v>
      </c>
      <c r="B132" s="158" t="s">
        <v>766</v>
      </c>
      <c r="C132" s="191"/>
      <c r="D132" s="191">
        <v>57</v>
      </c>
      <c r="E132" s="201" t="s">
        <v>767</v>
      </c>
      <c r="F132" s="183" t="s">
        <v>892</v>
      </c>
      <c r="G132" s="183" t="s">
        <v>893</v>
      </c>
      <c r="H132" s="184">
        <v>101251159704</v>
      </c>
      <c r="I132" s="185" t="s">
        <v>894</v>
      </c>
      <c r="J132" s="146" t="s">
        <v>895</v>
      </c>
      <c r="K132" s="247"/>
      <c r="L132" s="186">
        <v>44016</v>
      </c>
      <c r="M132" s="192">
        <f>'DB_1,0'!G107/5</f>
        <v>3200000</v>
      </c>
    </row>
    <row r="133" spans="1:13" hidden="1" x14ac:dyDescent="0.25">
      <c r="A133" s="191">
        <v>137</v>
      </c>
      <c r="B133" s="158" t="s">
        <v>822</v>
      </c>
      <c r="C133" s="191"/>
      <c r="D133" s="191">
        <v>58</v>
      </c>
      <c r="E133" s="201" t="s">
        <v>309</v>
      </c>
      <c r="F133" s="183" t="s">
        <v>896</v>
      </c>
      <c r="G133" s="183" t="s">
        <v>897</v>
      </c>
      <c r="H133" s="184">
        <v>117011019897</v>
      </c>
      <c r="I133" s="185" t="s">
        <v>898</v>
      </c>
      <c r="J133" s="146" t="s">
        <v>899</v>
      </c>
      <c r="K133" s="247"/>
      <c r="L133" s="186">
        <v>44016</v>
      </c>
      <c r="M133" s="192">
        <f>'DB_1,0'!G146/5</f>
        <v>3000000</v>
      </c>
    </row>
    <row r="134" spans="1:13" hidden="1" x14ac:dyDescent="0.25">
      <c r="A134" s="191">
        <v>99</v>
      </c>
      <c r="B134" s="158" t="s">
        <v>769</v>
      </c>
      <c r="C134" s="191"/>
      <c r="D134" s="191">
        <v>59</v>
      </c>
      <c r="E134" s="201" t="s">
        <v>768</v>
      </c>
      <c r="F134" s="183" t="s">
        <v>422</v>
      </c>
      <c r="G134" s="183" t="s">
        <v>900</v>
      </c>
      <c r="H134" s="184">
        <v>216011018011</v>
      </c>
      <c r="I134" s="185">
        <v>0</v>
      </c>
      <c r="J134" s="146" t="s">
        <v>425</v>
      </c>
      <c r="K134" s="247"/>
      <c r="L134" s="186">
        <v>44016</v>
      </c>
      <c r="M134" s="192">
        <v>4400000</v>
      </c>
    </row>
    <row r="135" spans="1:13" hidden="1" x14ac:dyDescent="0.25">
      <c r="A135" s="191">
        <v>127</v>
      </c>
      <c r="B135" s="158" t="s">
        <v>812</v>
      </c>
      <c r="C135" s="191"/>
      <c r="D135" s="191">
        <v>60</v>
      </c>
      <c r="E135" s="201" t="s">
        <v>87</v>
      </c>
      <c r="F135" s="183" t="s">
        <v>901</v>
      </c>
      <c r="G135" s="183" t="s">
        <v>902</v>
      </c>
      <c r="H135" s="184">
        <v>101211231035</v>
      </c>
      <c r="I135" s="185" t="s">
        <v>903</v>
      </c>
      <c r="J135" s="146"/>
      <c r="K135" s="247"/>
      <c r="L135" s="186">
        <v>44016</v>
      </c>
      <c r="M135" s="192">
        <f>'DB_1,0'!G136/5</f>
        <v>2700000</v>
      </c>
    </row>
    <row r="136" spans="1:13" hidden="1" x14ac:dyDescent="0.25">
      <c r="A136" s="191">
        <v>117</v>
      </c>
      <c r="B136" s="158" t="s">
        <v>803</v>
      </c>
      <c r="C136" s="191"/>
      <c r="D136" s="191">
        <v>63</v>
      </c>
      <c r="E136" s="201" t="s">
        <v>87</v>
      </c>
      <c r="F136" s="183" t="s">
        <v>450</v>
      </c>
      <c r="G136" s="183" t="s">
        <v>451</v>
      </c>
      <c r="H136" s="184">
        <v>102091013196</v>
      </c>
      <c r="I136" s="185" t="s">
        <v>452</v>
      </c>
      <c r="J136" s="146" t="s">
        <v>453</v>
      </c>
      <c r="K136" s="247"/>
      <c r="L136" s="186">
        <v>44016</v>
      </c>
      <c r="M136" s="192">
        <f>'DB_1,0'!G126/5</f>
        <v>2250000</v>
      </c>
    </row>
    <row r="137" spans="1:13" hidden="1" x14ac:dyDescent="0.25">
      <c r="A137" s="191">
        <v>136</v>
      </c>
      <c r="B137" s="158" t="s">
        <v>821</v>
      </c>
      <c r="C137" s="191"/>
      <c r="D137" s="191">
        <v>65</v>
      </c>
      <c r="E137" s="201" t="s">
        <v>87</v>
      </c>
      <c r="F137" s="183" t="s">
        <v>450</v>
      </c>
      <c r="G137" s="183" t="s">
        <v>451</v>
      </c>
      <c r="H137" s="184">
        <v>102091013196</v>
      </c>
      <c r="I137" s="185" t="s">
        <v>452</v>
      </c>
      <c r="J137" s="146" t="s">
        <v>453</v>
      </c>
      <c r="K137" s="247"/>
      <c r="L137" s="186">
        <v>44016</v>
      </c>
      <c r="M137" s="192">
        <f>'DB_1,0'!G145/5</f>
        <v>2250000</v>
      </c>
    </row>
    <row r="138" spans="1:13" hidden="1" x14ac:dyDescent="0.25">
      <c r="A138" s="191">
        <v>139</v>
      </c>
      <c r="B138" s="158" t="s">
        <v>824</v>
      </c>
      <c r="C138" s="191"/>
      <c r="D138" s="191">
        <v>66</v>
      </c>
      <c r="E138" s="201" t="s">
        <v>435</v>
      </c>
      <c r="F138" s="183" t="s">
        <v>904</v>
      </c>
      <c r="G138" s="183" t="s">
        <v>905</v>
      </c>
      <c r="H138" s="184">
        <v>101981088024</v>
      </c>
      <c r="I138" s="185" t="s">
        <v>906</v>
      </c>
      <c r="J138" s="146"/>
      <c r="K138" s="247"/>
      <c r="L138" s="186">
        <v>44016</v>
      </c>
      <c r="M138" s="192">
        <f>'DB_1,0'!G148/5</f>
        <v>3350000</v>
      </c>
    </row>
    <row r="139" spans="1:13" hidden="1" x14ac:dyDescent="0.25">
      <c r="A139" s="191">
        <v>145</v>
      </c>
      <c r="B139" s="378" t="s">
        <v>830</v>
      </c>
      <c r="C139" s="191"/>
      <c r="D139" s="191">
        <v>67</v>
      </c>
      <c r="E139" s="272" t="s">
        <v>435</v>
      </c>
      <c r="F139" s="183" t="s">
        <v>904</v>
      </c>
      <c r="G139" s="183" t="s">
        <v>905</v>
      </c>
      <c r="H139" s="184">
        <v>101981088024</v>
      </c>
      <c r="I139" s="185" t="s">
        <v>906</v>
      </c>
      <c r="J139" s="146"/>
      <c r="K139" s="247"/>
      <c r="L139" s="186">
        <v>44016</v>
      </c>
      <c r="M139" s="192">
        <f>'DB_1,0'!G154/5</f>
        <v>3250000</v>
      </c>
    </row>
    <row r="140" spans="1:13" hidden="1" x14ac:dyDescent="0.25">
      <c r="A140" s="191">
        <v>138</v>
      </c>
      <c r="B140" s="158" t="s">
        <v>804</v>
      </c>
      <c r="C140" s="191"/>
      <c r="D140" s="191">
        <v>68</v>
      </c>
      <c r="E140" s="272" t="s">
        <v>435</v>
      </c>
      <c r="F140" s="183" t="s">
        <v>907</v>
      </c>
      <c r="G140" s="183" t="s">
        <v>908</v>
      </c>
      <c r="H140" s="184">
        <v>102031027520</v>
      </c>
      <c r="I140" s="185" t="s">
        <v>909</v>
      </c>
      <c r="J140" s="146" t="s">
        <v>910</v>
      </c>
      <c r="K140" s="247"/>
      <c r="L140" s="186">
        <v>44016</v>
      </c>
      <c r="M140" s="192">
        <f>'DB_1,0'!G127/5</f>
        <v>2250000</v>
      </c>
    </row>
    <row r="141" spans="1:13" hidden="1" x14ac:dyDescent="0.25">
      <c r="A141" s="191">
        <v>106</v>
      </c>
      <c r="B141" s="158" t="s">
        <v>793</v>
      </c>
      <c r="C141" s="191"/>
      <c r="D141" s="191">
        <v>69</v>
      </c>
      <c r="E141" s="201" t="s">
        <v>833</v>
      </c>
      <c r="F141" s="183" t="s">
        <v>111</v>
      </c>
      <c r="G141" s="183" t="s">
        <v>112</v>
      </c>
      <c r="H141" s="184">
        <v>101241130876</v>
      </c>
      <c r="I141" s="185" t="s">
        <v>113</v>
      </c>
      <c r="J141" s="146" t="s">
        <v>338</v>
      </c>
      <c r="K141" s="247"/>
      <c r="L141" s="186">
        <v>44016</v>
      </c>
      <c r="M141" s="192">
        <f>'DB_1,0'!G115/5</f>
        <v>3100000</v>
      </c>
    </row>
    <row r="142" spans="1:13" hidden="1" x14ac:dyDescent="0.25">
      <c r="A142" s="191">
        <v>138</v>
      </c>
      <c r="B142" s="158" t="s">
        <v>823</v>
      </c>
      <c r="C142" s="191"/>
      <c r="D142" s="191">
        <v>70</v>
      </c>
      <c r="E142" s="201" t="s">
        <v>87</v>
      </c>
      <c r="F142" s="183" t="s">
        <v>911</v>
      </c>
      <c r="G142" s="183" t="s">
        <v>912</v>
      </c>
      <c r="H142" s="184"/>
      <c r="I142" s="185" t="s">
        <v>913</v>
      </c>
      <c r="J142" s="146" t="s">
        <v>914</v>
      </c>
      <c r="K142" s="247"/>
      <c r="L142" s="186">
        <v>44016</v>
      </c>
      <c r="M142" s="192">
        <f>'DB_1,0'!G147/5</f>
        <v>3250000</v>
      </c>
    </row>
    <row r="143" spans="1:13" hidden="1" x14ac:dyDescent="0.25">
      <c r="A143" s="191">
        <v>142</v>
      </c>
      <c r="B143" s="158" t="s">
        <v>827</v>
      </c>
      <c r="C143" s="191"/>
      <c r="D143" s="191">
        <v>71</v>
      </c>
      <c r="E143" s="201" t="s">
        <v>87</v>
      </c>
      <c r="F143" s="183" t="s">
        <v>911</v>
      </c>
      <c r="G143" s="183" t="s">
        <v>912</v>
      </c>
      <c r="H143" s="184"/>
      <c r="I143" s="185" t="s">
        <v>913</v>
      </c>
      <c r="J143" s="146" t="s">
        <v>914</v>
      </c>
      <c r="K143" s="247"/>
      <c r="L143" s="186">
        <v>44016</v>
      </c>
      <c r="M143" s="192">
        <f>'DB_1,0'!G151/5</f>
        <v>3250000</v>
      </c>
    </row>
    <row r="144" spans="1:13" hidden="1" x14ac:dyDescent="0.25">
      <c r="A144" s="191">
        <v>108</v>
      </c>
      <c r="B144" s="158" t="s">
        <v>795</v>
      </c>
      <c r="C144" s="191"/>
      <c r="D144" s="191">
        <v>72</v>
      </c>
      <c r="E144" s="201" t="s">
        <v>833</v>
      </c>
      <c r="F144" s="183" t="s">
        <v>92</v>
      </c>
      <c r="G144" s="183" t="s">
        <v>93</v>
      </c>
      <c r="H144" s="184">
        <v>110051004731</v>
      </c>
      <c r="I144" s="185" t="s">
        <v>94</v>
      </c>
      <c r="J144" s="146" t="s">
        <v>915</v>
      </c>
      <c r="K144" s="247"/>
      <c r="L144" s="186">
        <v>44016</v>
      </c>
      <c r="M144" s="192">
        <f>'DB_1,0'!G117/5</f>
        <v>3400000</v>
      </c>
    </row>
    <row r="145" spans="1:13" hidden="1" x14ac:dyDescent="0.25">
      <c r="A145" s="191">
        <v>119</v>
      </c>
      <c r="B145" s="158" t="s">
        <v>805</v>
      </c>
      <c r="C145" s="191"/>
      <c r="D145" s="191">
        <v>73</v>
      </c>
      <c r="E145" s="201" t="s">
        <v>87</v>
      </c>
      <c r="F145" s="183" t="s">
        <v>916</v>
      </c>
      <c r="G145" s="183"/>
      <c r="H145" s="184"/>
      <c r="I145" s="185" t="s">
        <v>917</v>
      </c>
      <c r="J145" s="146" t="s">
        <v>918</v>
      </c>
      <c r="K145" s="247"/>
      <c r="L145" s="186">
        <v>44017</v>
      </c>
      <c r="M145" s="192">
        <f>'DB_1,0'!G128/5</f>
        <v>2500000</v>
      </c>
    </row>
    <row r="146" spans="1:13" hidden="1" x14ac:dyDescent="0.25">
      <c r="A146" s="191">
        <v>112</v>
      </c>
      <c r="B146" s="158" t="s">
        <v>799</v>
      </c>
      <c r="C146" s="191">
        <v>126</v>
      </c>
      <c r="D146" s="191"/>
      <c r="E146" s="201" t="s">
        <v>787</v>
      </c>
      <c r="F146" s="183" t="s">
        <v>919</v>
      </c>
      <c r="G146" s="183" t="s">
        <v>920</v>
      </c>
      <c r="H146" s="184">
        <v>109011012097</v>
      </c>
      <c r="I146" s="185" t="s">
        <v>921</v>
      </c>
      <c r="J146" s="146" t="s">
        <v>922</v>
      </c>
      <c r="K146" s="247"/>
      <c r="L146" s="186">
        <v>44017</v>
      </c>
      <c r="M146" s="192">
        <f>'DB_1,0'!G121/5</f>
        <v>3500000</v>
      </c>
    </row>
    <row r="147" spans="1:13" hidden="1" x14ac:dyDescent="0.25">
      <c r="A147" s="191">
        <v>100</v>
      </c>
      <c r="B147" s="378" t="s">
        <v>770</v>
      </c>
      <c r="C147" s="191"/>
      <c r="D147" s="191">
        <v>73</v>
      </c>
      <c r="E147" s="272" t="s">
        <v>767</v>
      </c>
      <c r="F147" s="183" t="s">
        <v>923</v>
      </c>
      <c r="G147" s="183" t="s">
        <v>924</v>
      </c>
      <c r="H147" s="184">
        <v>103051012740</v>
      </c>
      <c r="I147" s="185" t="s">
        <v>925</v>
      </c>
      <c r="J147" s="146" t="s">
        <v>926</v>
      </c>
      <c r="K147" s="247"/>
      <c r="L147" s="186">
        <v>44017</v>
      </c>
      <c r="M147" s="192">
        <f>'DB_1,0'!G109/5</f>
        <v>3300000</v>
      </c>
    </row>
    <row r="148" spans="1:13" hidden="1" x14ac:dyDescent="0.25">
      <c r="A148" s="191">
        <v>123</v>
      </c>
      <c r="B148" s="158" t="s">
        <v>834</v>
      </c>
      <c r="C148" s="191"/>
      <c r="D148" s="191">
        <v>74</v>
      </c>
      <c r="E148" s="201" t="s">
        <v>309</v>
      </c>
      <c r="F148" s="183" t="s">
        <v>927</v>
      </c>
      <c r="G148" s="183" t="s">
        <v>928</v>
      </c>
      <c r="H148" s="184">
        <v>103051012747</v>
      </c>
      <c r="I148" s="185" t="s">
        <v>925</v>
      </c>
      <c r="J148" s="146" t="s">
        <v>929</v>
      </c>
      <c r="K148" s="247"/>
      <c r="L148" s="186">
        <v>44017</v>
      </c>
      <c r="M148" s="192">
        <f>'DB_1,0'!G132/5</f>
        <v>3200000</v>
      </c>
    </row>
    <row r="149" spans="1:13" hidden="1" x14ac:dyDescent="0.25">
      <c r="A149" s="191">
        <v>103</v>
      </c>
      <c r="B149" s="158" t="s">
        <v>790</v>
      </c>
      <c r="C149" s="191"/>
      <c r="D149" s="191">
        <v>75</v>
      </c>
      <c r="E149" s="201" t="s">
        <v>833</v>
      </c>
      <c r="F149" s="183" t="s">
        <v>571</v>
      </c>
      <c r="G149" s="183" t="s">
        <v>556</v>
      </c>
      <c r="H149" s="184">
        <v>101251181263</v>
      </c>
      <c r="I149" s="185" t="s">
        <v>930</v>
      </c>
      <c r="J149" s="146" t="s">
        <v>557</v>
      </c>
      <c r="K149" s="247"/>
      <c r="L149" s="186">
        <v>44019</v>
      </c>
      <c r="M149" s="192">
        <f>'DB_1,0'!G112/5</f>
        <v>3100000</v>
      </c>
    </row>
    <row r="150" spans="1:13" hidden="1" x14ac:dyDescent="0.25">
      <c r="A150" s="191">
        <v>148</v>
      </c>
      <c r="B150" s="158" t="s">
        <v>846</v>
      </c>
      <c r="C150" s="191"/>
      <c r="D150" s="191">
        <v>80</v>
      </c>
      <c r="E150" s="272" t="s">
        <v>434</v>
      </c>
      <c r="F150" s="183" t="s">
        <v>931</v>
      </c>
      <c r="G150" s="183"/>
      <c r="H150" s="184"/>
      <c r="I150" s="185"/>
      <c r="J150" s="146"/>
      <c r="K150" s="247"/>
      <c r="L150" s="186">
        <v>44019</v>
      </c>
      <c r="M150" s="192">
        <f>'DB_1,0'!G157/5</f>
        <v>3200000</v>
      </c>
    </row>
    <row r="151" spans="1:13" hidden="1" x14ac:dyDescent="0.25">
      <c r="A151" s="191">
        <v>109</v>
      </c>
      <c r="B151" s="158" t="s">
        <v>796</v>
      </c>
      <c r="C151" s="191">
        <v>127</v>
      </c>
      <c r="D151" s="191"/>
      <c r="E151" s="201" t="s">
        <v>833</v>
      </c>
      <c r="F151" s="183" t="s">
        <v>876</v>
      </c>
      <c r="G151" s="183" t="s">
        <v>877</v>
      </c>
      <c r="H151" s="184">
        <v>101231116155</v>
      </c>
      <c r="I151" s="185" t="s">
        <v>878</v>
      </c>
      <c r="J151" s="146" t="s">
        <v>879</v>
      </c>
      <c r="K151" s="247"/>
      <c r="L151" s="186">
        <v>44019</v>
      </c>
      <c r="M151" s="192">
        <f>'DB_1,0'!G118/5</f>
        <v>3450000</v>
      </c>
    </row>
    <row r="152" spans="1:13" hidden="1" x14ac:dyDescent="0.25">
      <c r="A152" s="191">
        <v>52</v>
      </c>
      <c r="B152" s="380" t="s">
        <v>365</v>
      </c>
      <c r="C152" s="191">
        <v>130</v>
      </c>
      <c r="D152" s="191"/>
      <c r="E152" s="201" t="s">
        <v>305</v>
      </c>
      <c r="F152" s="183" t="s">
        <v>884</v>
      </c>
      <c r="G152" s="183" t="s">
        <v>885</v>
      </c>
      <c r="H152" s="184">
        <v>101251109921</v>
      </c>
      <c r="I152" s="185" t="s">
        <v>886</v>
      </c>
      <c r="J152" s="146" t="s">
        <v>887</v>
      </c>
      <c r="K152" s="247" t="s">
        <v>691</v>
      </c>
      <c r="L152" s="186">
        <v>44019</v>
      </c>
      <c r="M152" s="192">
        <f>'DB_1,0'!G61/5</f>
        <v>3500000</v>
      </c>
    </row>
    <row r="153" spans="1:13" hidden="1" x14ac:dyDescent="0.25">
      <c r="A153" s="191">
        <v>137</v>
      </c>
      <c r="B153" s="344" t="s">
        <v>822</v>
      </c>
      <c r="C153" s="191">
        <v>128</v>
      </c>
      <c r="D153" s="191"/>
      <c r="E153" s="190" t="s">
        <v>309</v>
      </c>
      <c r="F153" s="183" t="s">
        <v>840</v>
      </c>
      <c r="G153" s="183" t="s">
        <v>841</v>
      </c>
      <c r="H153" s="184">
        <v>117071022620</v>
      </c>
      <c r="I153" s="185" t="s">
        <v>842</v>
      </c>
      <c r="J153" s="146" t="s">
        <v>843</v>
      </c>
      <c r="K153" s="247"/>
      <c r="L153" s="186">
        <v>44019</v>
      </c>
      <c r="M153" s="192">
        <v>3000000</v>
      </c>
    </row>
    <row r="154" spans="1:13" hidden="1" x14ac:dyDescent="0.25">
      <c r="A154" s="191">
        <v>146</v>
      </c>
      <c r="B154" s="344" t="s">
        <v>844</v>
      </c>
      <c r="C154" s="191">
        <v>76</v>
      </c>
      <c r="D154" s="191"/>
      <c r="E154" s="190" t="s">
        <v>435</v>
      </c>
      <c r="F154" s="183" t="s">
        <v>406</v>
      </c>
      <c r="G154" s="183" t="s">
        <v>851</v>
      </c>
      <c r="H154" s="184">
        <v>101241198800</v>
      </c>
      <c r="I154" s="185" t="s">
        <v>852</v>
      </c>
      <c r="J154" s="146" t="s">
        <v>853</v>
      </c>
      <c r="K154" s="247"/>
      <c r="L154" s="186">
        <v>44019</v>
      </c>
      <c r="M154" s="192">
        <v>3500000</v>
      </c>
    </row>
    <row r="155" spans="1:13" hidden="1" x14ac:dyDescent="0.25">
      <c r="A155" s="191">
        <v>129</v>
      </c>
      <c r="B155" s="344" t="s">
        <v>533</v>
      </c>
      <c r="C155" s="191">
        <v>129</v>
      </c>
      <c r="D155" s="191"/>
      <c r="E155" s="190" t="s">
        <v>224</v>
      </c>
      <c r="F155" s="183" t="s">
        <v>854</v>
      </c>
      <c r="G155" s="183" t="s">
        <v>855</v>
      </c>
      <c r="H155" s="184">
        <v>101211088963</v>
      </c>
      <c r="I155" s="185" t="s">
        <v>856</v>
      </c>
      <c r="J155" s="146" t="s">
        <v>857</v>
      </c>
      <c r="K155" s="247"/>
      <c r="L155" s="186">
        <v>44019</v>
      </c>
      <c r="M155" s="192">
        <v>2050000</v>
      </c>
    </row>
    <row r="156" spans="1:13" hidden="1" x14ac:dyDescent="0.25">
      <c r="A156" s="191">
        <v>120</v>
      </c>
      <c r="B156" s="158" t="s">
        <v>806</v>
      </c>
      <c r="C156" s="191">
        <v>130</v>
      </c>
      <c r="D156" s="191"/>
      <c r="E156" s="201" t="s">
        <v>87</v>
      </c>
      <c r="F156" s="183" t="s">
        <v>880</v>
      </c>
      <c r="G156" s="183" t="s">
        <v>881</v>
      </c>
      <c r="H156" s="184">
        <v>102071020522</v>
      </c>
      <c r="I156" s="185" t="s">
        <v>882</v>
      </c>
      <c r="J156" s="146" t="s">
        <v>883</v>
      </c>
      <c r="K156" s="247"/>
      <c r="L156" s="186">
        <v>44020</v>
      </c>
      <c r="M156" s="192">
        <f>'DB_1,0'!G129/5</f>
        <v>2100000</v>
      </c>
    </row>
    <row r="157" spans="1:13" s="271" customFormat="1" hidden="1" x14ac:dyDescent="0.25">
      <c r="A157" s="269">
        <v>115</v>
      </c>
      <c r="B157" s="141" t="s">
        <v>801</v>
      </c>
      <c r="C157" s="269">
        <v>131</v>
      </c>
      <c r="D157" s="269"/>
      <c r="E157" s="273" t="s">
        <v>87</v>
      </c>
      <c r="F157" s="263" t="s">
        <v>888</v>
      </c>
      <c r="G157" s="263" t="s">
        <v>889</v>
      </c>
      <c r="H157" s="264">
        <v>102052002801</v>
      </c>
      <c r="I157" s="265" t="s">
        <v>890</v>
      </c>
      <c r="J157" s="266" t="s">
        <v>891</v>
      </c>
      <c r="K157" s="267"/>
      <c r="L157" s="268">
        <v>44020</v>
      </c>
      <c r="M157" s="270">
        <f>'DB_1,0'!G124/5</f>
        <v>2100000</v>
      </c>
    </row>
    <row r="158" spans="1:13" hidden="1" x14ac:dyDescent="0.25">
      <c r="A158" s="191">
        <v>102</v>
      </c>
      <c r="B158" s="158" t="s">
        <v>789</v>
      </c>
      <c r="C158" s="191"/>
      <c r="D158" s="191">
        <v>80</v>
      </c>
      <c r="E158" s="190" t="s">
        <v>87</v>
      </c>
      <c r="F158" s="183" t="s">
        <v>932</v>
      </c>
      <c r="G158" s="183" t="s">
        <v>933</v>
      </c>
      <c r="H158" s="184">
        <v>103071019954</v>
      </c>
      <c r="I158" s="185" t="s">
        <v>934</v>
      </c>
      <c r="J158" s="146" t="s">
        <v>935</v>
      </c>
      <c r="K158" s="247"/>
      <c r="L158" s="276">
        <v>44020</v>
      </c>
      <c r="M158" s="192">
        <f>'DB_1,0'!G111/5</f>
        <v>2100000</v>
      </c>
    </row>
    <row r="159" spans="1:13" hidden="1" x14ac:dyDescent="0.25">
      <c r="A159" s="191">
        <v>152</v>
      </c>
      <c r="B159" s="344" t="s">
        <v>850</v>
      </c>
      <c r="C159" s="191">
        <v>133</v>
      </c>
      <c r="D159" s="191"/>
      <c r="E159" s="190" t="s">
        <v>435</v>
      </c>
      <c r="F159" s="183" t="s">
        <v>937</v>
      </c>
      <c r="G159" s="183" t="s">
        <v>938</v>
      </c>
      <c r="H159" s="184">
        <v>401011039780</v>
      </c>
      <c r="I159" s="185" t="s">
        <v>939</v>
      </c>
      <c r="J159" s="146" t="s">
        <v>940</v>
      </c>
      <c r="K159" s="247"/>
      <c r="L159" s="186">
        <v>44022</v>
      </c>
      <c r="M159" s="192">
        <f>(18500000/5)</f>
        <v>3700000</v>
      </c>
    </row>
    <row r="160" spans="1:13" hidden="1" x14ac:dyDescent="0.25">
      <c r="A160" s="191">
        <v>149</v>
      </c>
      <c r="B160" s="344" t="s">
        <v>847</v>
      </c>
      <c r="C160" s="191"/>
      <c r="D160" s="191">
        <v>81</v>
      </c>
      <c r="E160" s="190" t="s">
        <v>435</v>
      </c>
      <c r="F160" s="183" t="s">
        <v>944</v>
      </c>
      <c r="G160" s="183" t="s">
        <v>945</v>
      </c>
      <c r="H160" s="184">
        <v>117171020501</v>
      </c>
      <c r="I160" s="185" t="s">
        <v>946</v>
      </c>
      <c r="J160" s="146" t="s">
        <v>947</v>
      </c>
      <c r="K160" s="247"/>
      <c r="L160" s="186">
        <v>44023</v>
      </c>
      <c r="M160" s="192">
        <f>16750000/5</f>
        <v>3350000</v>
      </c>
    </row>
    <row r="161" spans="1:13" hidden="1" x14ac:dyDescent="0.25">
      <c r="A161" s="191">
        <v>102</v>
      </c>
      <c r="B161" s="344" t="s">
        <v>789</v>
      </c>
      <c r="C161" s="191">
        <v>134</v>
      </c>
      <c r="D161" s="191"/>
      <c r="E161" s="190" t="s">
        <v>87</v>
      </c>
      <c r="F161" s="183" t="s">
        <v>63</v>
      </c>
      <c r="G161" s="183" t="s">
        <v>948</v>
      </c>
      <c r="H161" s="184">
        <v>201091010307</v>
      </c>
      <c r="I161" s="185" t="s">
        <v>949</v>
      </c>
      <c r="J161" s="146" t="s">
        <v>950</v>
      </c>
      <c r="K161" s="247"/>
      <c r="L161" s="186">
        <v>44023</v>
      </c>
      <c r="M161" s="192">
        <f>'DB_1,0'!G111/5</f>
        <v>2100000</v>
      </c>
    </row>
    <row r="162" spans="1:13" ht="30" hidden="1" x14ac:dyDescent="0.25">
      <c r="A162" s="191">
        <v>108</v>
      </c>
      <c r="B162" s="344" t="s">
        <v>795</v>
      </c>
      <c r="C162" s="191">
        <v>135</v>
      </c>
      <c r="D162" s="191"/>
      <c r="E162" s="190" t="s">
        <v>435</v>
      </c>
      <c r="F162" s="183" t="s">
        <v>63</v>
      </c>
      <c r="G162" s="183" t="s">
        <v>952</v>
      </c>
      <c r="H162" s="184">
        <v>117031018484</v>
      </c>
      <c r="I162" s="185" t="s">
        <v>953</v>
      </c>
      <c r="J162" s="146" t="s">
        <v>954</v>
      </c>
      <c r="K162" s="247" t="s">
        <v>955</v>
      </c>
      <c r="L162" s="186">
        <v>44025</v>
      </c>
      <c r="M162" s="192">
        <f>'DB_1,0'!G117/5</f>
        <v>3400000</v>
      </c>
    </row>
    <row r="163" spans="1:13" hidden="1" x14ac:dyDescent="0.25">
      <c r="A163" s="191">
        <v>151</v>
      </c>
      <c r="B163" s="344" t="s">
        <v>849</v>
      </c>
      <c r="C163" s="191"/>
      <c r="D163" s="191">
        <v>82</v>
      </c>
      <c r="E163" s="190" t="s">
        <v>435</v>
      </c>
      <c r="F163" s="183" t="s">
        <v>92</v>
      </c>
      <c r="G163" s="183" t="s">
        <v>93</v>
      </c>
      <c r="H163" s="184">
        <v>110051004731</v>
      </c>
      <c r="I163" s="185" t="s">
        <v>94</v>
      </c>
      <c r="J163" s="146" t="s">
        <v>915</v>
      </c>
      <c r="K163" s="247"/>
      <c r="L163" s="186">
        <v>44025</v>
      </c>
      <c r="M163" s="192">
        <v>3200000</v>
      </c>
    </row>
    <row r="164" spans="1:13" hidden="1" x14ac:dyDescent="0.25">
      <c r="A164" s="191">
        <v>153</v>
      </c>
      <c r="B164" s="158" t="s">
        <v>941</v>
      </c>
      <c r="C164" s="191">
        <v>136</v>
      </c>
      <c r="D164" s="191"/>
      <c r="E164" s="201" t="s">
        <v>936</v>
      </c>
      <c r="F164" s="183" t="s">
        <v>957</v>
      </c>
      <c r="G164" s="183" t="s">
        <v>958</v>
      </c>
      <c r="H164" s="184">
        <v>117191006625</v>
      </c>
      <c r="I164" s="185" t="s">
        <v>959</v>
      </c>
      <c r="J164" s="146" t="s">
        <v>960</v>
      </c>
      <c r="K164" s="247"/>
      <c r="L164" s="186">
        <v>44026</v>
      </c>
      <c r="M164" s="192">
        <v>8000000</v>
      </c>
    </row>
    <row r="165" spans="1:13" ht="30" hidden="1" x14ac:dyDescent="0.25">
      <c r="A165" s="191">
        <v>139</v>
      </c>
      <c r="B165" s="158" t="s">
        <v>824</v>
      </c>
      <c r="C165" s="191">
        <v>137</v>
      </c>
      <c r="D165" s="191"/>
      <c r="E165" s="201" t="s">
        <v>435</v>
      </c>
      <c r="F165" s="183" t="s">
        <v>961</v>
      </c>
      <c r="G165" s="183" t="s">
        <v>962</v>
      </c>
      <c r="H165" s="184">
        <v>105011001559</v>
      </c>
      <c r="I165" s="185" t="s">
        <v>963</v>
      </c>
      <c r="J165" s="146" t="s">
        <v>964</v>
      </c>
      <c r="K165" s="247" t="s">
        <v>965</v>
      </c>
      <c r="L165" s="186">
        <v>44026</v>
      </c>
      <c r="M165" s="192">
        <f>'DB_1,0'!G148/5</f>
        <v>3350000</v>
      </c>
    </row>
    <row r="166" spans="1:13" ht="30" hidden="1" x14ac:dyDescent="0.25">
      <c r="A166" s="191">
        <v>90</v>
      </c>
      <c r="B166" s="158" t="s">
        <v>534</v>
      </c>
      <c r="C166" s="191">
        <v>138</v>
      </c>
      <c r="D166" s="191"/>
      <c r="E166" s="201" t="s">
        <v>309</v>
      </c>
      <c r="F166" s="183" t="s">
        <v>966</v>
      </c>
      <c r="G166" s="183" t="s">
        <v>967</v>
      </c>
      <c r="H166" s="184">
        <v>101241088667</v>
      </c>
      <c r="I166" s="185" t="s">
        <v>968</v>
      </c>
      <c r="J166" s="146" t="s">
        <v>969</v>
      </c>
      <c r="K166" s="247" t="s">
        <v>970</v>
      </c>
      <c r="L166" s="186">
        <v>44026</v>
      </c>
      <c r="M166" s="192">
        <f>'DB_1,0'!G99/5</f>
        <v>3250000</v>
      </c>
    </row>
    <row r="167" spans="1:13" hidden="1" x14ac:dyDescent="0.25">
      <c r="A167" s="191">
        <v>119</v>
      </c>
      <c r="B167" s="158" t="s">
        <v>805</v>
      </c>
      <c r="C167" s="191">
        <v>139</v>
      </c>
      <c r="D167" s="191"/>
      <c r="E167" s="201" t="s">
        <v>87</v>
      </c>
      <c r="F167" s="183" t="s">
        <v>971</v>
      </c>
      <c r="G167" s="183" t="s">
        <v>972</v>
      </c>
      <c r="H167" s="184">
        <v>20109104917</v>
      </c>
      <c r="I167" s="185" t="s">
        <v>973</v>
      </c>
      <c r="J167" s="146" t="s">
        <v>974</v>
      </c>
      <c r="K167" s="247" t="s">
        <v>975</v>
      </c>
      <c r="L167" s="186">
        <v>44026</v>
      </c>
      <c r="M167" s="192">
        <f>'DB_1,0'!G128/5</f>
        <v>2500000</v>
      </c>
    </row>
    <row r="168" spans="1:13" ht="30" hidden="1" x14ac:dyDescent="0.25">
      <c r="A168" s="191">
        <v>99</v>
      </c>
      <c r="B168" s="158" t="s">
        <v>769</v>
      </c>
      <c r="C168" s="191">
        <v>140</v>
      </c>
      <c r="D168" s="191" t="s">
        <v>977</v>
      </c>
      <c r="E168" s="201" t="s">
        <v>768</v>
      </c>
      <c r="F168" s="281"/>
      <c r="G168" s="281"/>
      <c r="H168" s="282"/>
      <c r="I168" s="283"/>
      <c r="J168" s="284"/>
      <c r="K168" s="247" t="s">
        <v>976</v>
      </c>
      <c r="L168" s="186">
        <v>44016</v>
      </c>
      <c r="M168" s="192">
        <v>4400000</v>
      </c>
    </row>
    <row r="169" spans="1:13" hidden="1" x14ac:dyDescent="0.25">
      <c r="A169" s="191">
        <v>138</v>
      </c>
      <c r="B169" s="158" t="s">
        <v>823</v>
      </c>
      <c r="C169" s="191">
        <v>141</v>
      </c>
      <c r="D169" s="191" t="s">
        <v>978</v>
      </c>
      <c r="E169" s="201" t="s">
        <v>87</v>
      </c>
      <c r="F169" s="281"/>
      <c r="G169" s="281"/>
      <c r="H169" s="282"/>
      <c r="I169" s="283"/>
      <c r="J169" s="284"/>
      <c r="K169" s="247" t="s">
        <v>979</v>
      </c>
      <c r="L169" s="285"/>
      <c r="M169" s="192">
        <v>3250000</v>
      </c>
    </row>
    <row r="170" spans="1:13" ht="30" hidden="1" x14ac:dyDescent="0.25">
      <c r="A170" s="191">
        <v>148</v>
      </c>
      <c r="B170" s="158" t="s">
        <v>846</v>
      </c>
      <c r="C170" s="191">
        <v>142</v>
      </c>
      <c r="D170" s="191" t="s">
        <v>986</v>
      </c>
      <c r="E170" s="272" t="s">
        <v>434</v>
      </c>
      <c r="F170" s="183" t="s">
        <v>980</v>
      </c>
      <c r="G170" s="183" t="s">
        <v>981</v>
      </c>
      <c r="H170" s="184">
        <v>104011009588</v>
      </c>
      <c r="I170" s="185" t="s">
        <v>982</v>
      </c>
      <c r="J170" s="146" t="s">
        <v>983</v>
      </c>
      <c r="K170" s="247" t="s">
        <v>984</v>
      </c>
      <c r="L170" s="186">
        <v>44027</v>
      </c>
      <c r="M170" s="192">
        <f>'DB_1,0'!G804/5</f>
        <v>17200000</v>
      </c>
    </row>
    <row r="171" spans="1:13" ht="30" hidden="1" x14ac:dyDescent="0.25">
      <c r="A171" s="191">
        <v>98</v>
      </c>
      <c r="B171" s="158" t="s">
        <v>766</v>
      </c>
      <c r="C171" s="191">
        <v>144</v>
      </c>
      <c r="D171" s="191" t="s">
        <v>985</v>
      </c>
      <c r="E171" s="201" t="s">
        <v>767</v>
      </c>
      <c r="F171" s="183" t="s">
        <v>988</v>
      </c>
      <c r="G171" s="183" t="s">
        <v>989</v>
      </c>
      <c r="H171" s="184">
        <v>201071004436</v>
      </c>
      <c r="I171" s="185" t="s">
        <v>990</v>
      </c>
      <c r="J171" s="146" t="s">
        <v>991</v>
      </c>
      <c r="K171" s="247" t="s">
        <v>987</v>
      </c>
      <c r="L171" s="186">
        <v>44028</v>
      </c>
      <c r="M171" s="192">
        <f>'DB_1,0'!G146/5</f>
        <v>3000000</v>
      </c>
    </row>
    <row r="172" spans="1:13" hidden="1" x14ac:dyDescent="0.25">
      <c r="A172" s="191"/>
      <c r="B172" s="158" t="s">
        <v>1219</v>
      </c>
      <c r="C172" s="191">
        <v>143</v>
      </c>
      <c r="D172" s="191"/>
      <c r="E172" s="201" t="s">
        <v>520</v>
      </c>
      <c r="F172" s="183" t="s">
        <v>1215</v>
      </c>
      <c r="G172" s="183" t="s">
        <v>1216</v>
      </c>
      <c r="H172" s="184">
        <v>101241089806</v>
      </c>
      <c r="I172" s="185" t="s">
        <v>1217</v>
      </c>
      <c r="J172" s="146" t="s">
        <v>1218</v>
      </c>
      <c r="K172" s="247"/>
      <c r="L172" s="186">
        <v>44028</v>
      </c>
      <c r="M172" s="192">
        <v>3000000</v>
      </c>
    </row>
    <row r="173" spans="1:13" hidden="1" x14ac:dyDescent="0.25">
      <c r="A173" s="191">
        <v>105</v>
      </c>
      <c r="B173" s="158" t="s">
        <v>792</v>
      </c>
      <c r="C173" s="191">
        <v>145</v>
      </c>
      <c r="D173" s="191"/>
      <c r="E173" s="190" t="s">
        <v>272</v>
      </c>
      <c r="F173" s="183" t="s">
        <v>992</v>
      </c>
      <c r="G173" s="183" t="s">
        <v>993</v>
      </c>
      <c r="H173" s="184">
        <v>101251164830</v>
      </c>
      <c r="I173" s="185"/>
      <c r="J173" s="146"/>
      <c r="K173" s="247"/>
      <c r="L173" s="186">
        <v>44028</v>
      </c>
      <c r="M173" s="192">
        <f>'DB_1,0'!G114/5</f>
        <v>4000000</v>
      </c>
    </row>
    <row r="174" spans="1:13" hidden="1" x14ac:dyDescent="0.25">
      <c r="A174" s="191">
        <v>132</v>
      </c>
      <c r="B174" s="158" t="s">
        <v>817</v>
      </c>
      <c r="C174" s="191"/>
      <c r="D174" s="191">
        <v>83</v>
      </c>
      <c r="E174" s="201" t="s">
        <v>999</v>
      </c>
      <c r="F174" s="183" t="s">
        <v>892</v>
      </c>
      <c r="G174" s="183" t="s">
        <v>893</v>
      </c>
      <c r="H174" s="184">
        <v>101251159704</v>
      </c>
      <c r="I174" s="185" t="s">
        <v>894</v>
      </c>
      <c r="J174" s="146" t="s">
        <v>895</v>
      </c>
      <c r="K174" s="247"/>
      <c r="L174" s="186">
        <v>44028</v>
      </c>
      <c r="M174" s="192">
        <f>'DB_1,0'!G138/5</f>
        <v>2400000</v>
      </c>
    </row>
    <row r="175" spans="1:13" hidden="1" x14ac:dyDescent="0.25">
      <c r="A175" s="191">
        <v>88</v>
      </c>
      <c r="B175" s="158" t="s">
        <v>518</v>
      </c>
      <c r="C175" s="191"/>
      <c r="D175" s="191">
        <v>84</v>
      </c>
      <c r="E175" s="201" t="s">
        <v>520</v>
      </c>
      <c r="F175" s="183" t="s">
        <v>726</v>
      </c>
      <c r="G175" s="183" t="s">
        <v>1000</v>
      </c>
      <c r="H175" s="184">
        <v>301051014625</v>
      </c>
      <c r="I175" s="185" t="s">
        <v>1001</v>
      </c>
      <c r="J175" s="146" t="s">
        <v>728</v>
      </c>
      <c r="K175" s="247"/>
      <c r="L175" s="186">
        <v>44028</v>
      </c>
      <c r="M175" s="192">
        <f>2900000</f>
        <v>2900000</v>
      </c>
    </row>
    <row r="176" spans="1:13" hidden="1" x14ac:dyDescent="0.25">
      <c r="A176" s="191">
        <v>126</v>
      </c>
      <c r="B176" s="158" t="s">
        <v>811</v>
      </c>
      <c r="C176" s="191">
        <v>147</v>
      </c>
      <c r="D176" s="191"/>
      <c r="E176" s="201" t="s">
        <v>998</v>
      </c>
      <c r="F176" s="183" t="s">
        <v>994</v>
      </c>
      <c r="G176" s="183" t="s">
        <v>995</v>
      </c>
      <c r="H176" s="184">
        <v>101231141011</v>
      </c>
      <c r="I176" s="185" t="s">
        <v>996</v>
      </c>
      <c r="J176" s="146" t="s">
        <v>997</v>
      </c>
      <c r="K176" s="247"/>
      <c r="L176" s="186">
        <v>44029</v>
      </c>
      <c r="M176" s="192">
        <f>'DB_1,0'!G135/5</f>
        <v>2100000</v>
      </c>
    </row>
    <row r="177" spans="1:13" hidden="1" x14ac:dyDescent="0.25">
      <c r="A177" s="191">
        <v>130</v>
      </c>
      <c r="B177" s="158" t="s">
        <v>815</v>
      </c>
      <c r="C177" s="191"/>
      <c r="D177" s="191">
        <v>85</v>
      </c>
      <c r="E177" s="201" t="s">
        <v>87</v>
      </c>
      <c r="F177" s="183" t="s">
        <v>931</v>
      </c>
      <c r="G177" s="183"/>
      <c r="H177" s="184"/>
      <c r="I177" s="185"/>
      <c r="J177" s="146"/>
      <c r="K177" s="247"/>
      <c r="L177" s="186">
        <v>44029</v>
      </c>
      <c r="M177" s="192">
        <f>'DB_1,0'!G139/5</f>
        <v>2100000</v>
      </c>
    </row>
    <row r="178" spans="1:13" hidden="1" x14ac:dyDescent="0.25">
      <c r="A178" s="191">
        <v>124</v>
      </c>
      <c r="B178" s="158" t="s">
        <v>809</v>
      </c>
      <c r="C178" s="191">
        <v>149</v>
      </c>
      <c r="D178" s="191"/>
      <c r="E178" s="201" t="s">
        <v>87</v>
      </c>
      <c r="F178" s="183" t="s">
        <v>1002</v>
      </c>
      <c r="G178" s="183" t="s">
        <v>1003</v>
      </c>
      <c r="H178" s="184">
        <v>314011030583</v>
      </c>
      <c r="I178" s="185" t="s">
        <v>1004</v>
      </c>
      <c r="J178" s="146" t="s">
        <v>1005</v>
      </c>
      <c r="K178" s="247"/>
      <c r="L178" s="186">
        <v>44030</v>
      </c>
      <c r="M178" s="192">
        <f>'DB_1,0'!G133/5</f>
        <v>2300000</v>
      </c>
    </row>
    <row r="179" spans="1:13" hidden="1" x14ac:dyDescent="0.25">
      <c r="A179" s="191">
        <v>111</v>
      </c>
      <c r="B179" s="344" t="s">
        <v>798</v>
      </c>
      <c r="C179" s="191">
        <v>150</v>
      </c>
      <c r="D179" s="191"/>
      <c r="E179" s="190" t="s">
        <v>87</v>
      </c>
      <c r="F179" s="183" t="s">
        <v>1006</v>
      </c>
      <c r="G179" s="183" t="s">
        <v>1007</v>
      </c>
      <c r="H179" s="184">
        <v>111011016486</v>
      </c>
      <c r="I179" s="185" t="s">
        <v>1008</v>
      </c>
      <c r="J179" s="146" t="s">
        <v>1009</v>
      </c>
      <c r="K179" s="247"/>
      <c r="L179" s="186">
        <v>44030</v>
      </c>
      <c r="M179" s="192">
        <v>2300000</v>
      </c>
    </row>
    <row r="180" spans="1:13" hidden="1" x14ac:dyDescent="0.25">
      <c r="A180" s="191">
        <v>135</v>
      </c>
      <c r="B180" s="158" t="s">
        <v>820</v>
      </c>
      <c r="C180" s="191">
        <v>151</v>
      </c>
      <c r="D180" s="191"/>
      <c r="E180" s="190" t="s">
        <v>87</v>
      </c>
      <c r="F180" s="183" t="s">
        <v>1011</v>
      </c>
      <c r="G180" s="183" t="s">
        <v>1012</v>
      </c>
      <c r="H180" s="184">
        <v>508991003783</v>
      </c>
      <c r="I180" s="185" t="s">
        <v>1013</v>
      </c>
      <c r="J180" s="146"/>
      <c r="K180" s="247"/>
      <c r="L180" s="186">
        <v>44031</v>
      </c>
      <c r="M180" s="192">
        <f>'DB_1,0'!G144/5</f>
        <v>2100000</v>
      </c>
    </row>
    <row r="181" spans="1:13" hidden="1" x14ac:dyDescent="0.25">
      <c r="A181" s="191">
        <v>113</v>
      </c>
      <c r="B181" s="158" t="s">
        <v>800</v>
      </c>
      <c r="C181" s="191">
        <v>152</v>
      </c>
      <c r="D181" s="191"/>
      <c r="E181" s="190" t="s">
        <v>87</v>
      </c>
      <c r="F181" s="183" t="s">
        <v>1014</v>
      </c>
      <c r="G181" s="183" t="s">
        <v>1015</v>
      </c>
      <c r="H181" s="184">
        <v>101231163878</v>
      </c>
      <c r="I181" s="185" t="s">
        <v>1016</v>
      </c>
      <c r="J181" s="146" t="s">
        <v>1017</v>
      </c>
      <c r="K181" s="247"/>
      <c r="L181" s="186">
        <v>44031</v>
      </c>
      <c r="M181" s="192">
        <f>2300000</f>
        <v>2300000</v>
      </c>
    </row>
    <row r="182" spans="1:13" x14ac:dyDescent="0.25">
      <c r="A182" s="191"/>
      <c r="B182" s="344" t="s">
        <v>4980</v>
      </c>
      <c r="C182" s="191">
        <v>153</v>
      </c>
      <c r="D182" s="191"/>
      <c r="E182" s="190" t="s">
        <v>1021</v>
      </c>
      <c r="F182" s="183" t="s">
        <v>1018</v>
      </c>
      <c r="G182" s="183" t="s">
        <v>4979</v>
      </c>
      <c r="H182" s="184">
        <v>101251185843</v>
      </c>
      <c r="I182" s="185" t="s">
        <v>1019</v>
      </c>
      <c r="J182" s="146" t="s">
        <v>1020</v>
      </c>
      <c r="K182" s="247"/>
      <c r="L182" s="186">
        <v>44032</v>
      </c>
      <c r="M182" s="192">
        <v>840000</v>
      </c>
    </row>
    <row r="183" spans="1:13" s="170" customFormat="1" ht="30" hidden="1" x14ac:dyDescent="0.25">
      <c r="A183" s="191">
        <v>68</v>
      </c>
      <c r="B183" s="344" t="s">
        <v>437</v>
      </c>
      <c r="C183" s="146">
        <v>154</v>
      </c>
      <c r="D183" s="191" t="s">
        <v>1026</v>
      </c>
      <c r="E183" s="196" t="s">
        <v>87</v>
      </c>
      <c r="F183" s="183" t="s">
        <v>1022</v>
      </c>
      <c r="G183" s="183" t="s">
        <v>1023</v>
      </c>
      <c r="H183" s="287">
        <v>101221138089</v>
      </c>
      <c r="I183" s="185" t="s">
        <v>1024</v>
      </c>
      <c r="J183" s="146" t="s">
        <v>1025</v>
      </c>
      <c r="K183" s="247" t="s">
        <v>1027</v>
      </c>
      <c r="L183" s="186">
        <v>44032</v>
      </c>
      <c r="M183" s="192">
        <f>14500000/5</f>
        <v>2900000</v>
      </c>
    </row>
    <row r="184" spans="1:13" hidden="1" x14ac:dyDescent="0.25">
      <c r="A184" s="191">
        <v>130</v>
      </c>
      <c r="B184" s="158" t="s">
        <v>815</v>
      </c>
      <c r="C184" s="191">
        <v>155</v>
      </c>
      <c r="D184" s="191"/>
      <c r="E184" s="201" t="s">
        <v>832</v>
      </c>
      <c r="F184" s="183" t="s">
        <v>1028</v>
      </c>
      <c r="G184" s="183" t="s">
        <v>1029</v>
      </c>
      <c r="H184" s="184"/>
      <c r="I184" s="185"/>
      <c r="J184" s="146"/>
      <c r="K184" s="247"/>
      <c r="L184" s="186">
        <v>44033</v>
      </c>
      <c r="M184" s="192">
        <f>'DB_1,0'!G139/5</f>
        <v>2100000</v>
      </c>
    </row>
    <row r="185" spans="1:13" x14ac:dyDescent="0.25">
      <c r="A185" s="191"/>
      <c r="B185" s="344" t="s">
        <v>1035</v>
      </c>
      <c r="C185" s="191">
        <v>157</v>
      </c>
      <c r="D185" s="191"/>
      <c r="E185" s="190" t="s">
        <v>1034</v>
      </c>
      <c r="F185" s="183" t="s">
        <v>1030</v>
      </c>
      <c r="G185" s="183" t="s">
        <v>1031</v>
      </c>
      <c r="H185" s="184">
        <v>101981082945</v>
      </c>
      <c r="I185" s="185" t="s">
        <v>1032</v>
      </c>
      <c r="J185" s="146" t="s">
        <v>1033</v>
      </c>
      <c r="K185" s="247"/>
      <c r="L185" s="186">
        <v>44033</v>
      </c>
      <c r="M185" s="192">
        <v>1200000</v>
      </c>
    </row>
    <row r="186" spans="1:13" hidden="1" x14ac:dyDescent="0.25">
      <c r="A186" s="191">
        <v>121</v>
      </c>
      <c r="B186" s="158" t="s">
        <v>807</v>
      </c>
      <c r="C186" s="191"/>
      <c r="D186" s="191">
        <v>87</v>
      </c>
      <c r="E186" s="201" t="s">
        <v>309</v>
      </c>
      <c r="F186" s="183" t="s">
        <v>1036</v>
      </c>
      <c r="G186" s="183" t="s">
        <v>1037</v>
      </c>
      <c r="H186" s="184"/>
      <c r="I186" s="185" t="s">
        <v>1038</v>
      </c>
      <c r="J186" s="146" t="s">
        <v>1039</v>
      </c>
      <c r="K186" s="247"/>
      <c r="L186" s="186">
        <v>44034</v>
      </c>
      <c r="M186" s="192">
        <f>'DB_1,0'!G130/5</f>
        <v>3000000</v>
      </c>
    </row>
    <row r="187" spans="1:13" hidden="1" x14ac:dyDescent="0.25">
      <c r="A187" s="191">
        <v>133</v>
      </c>
      <c r="B187" s="158" t="s">
        <v>818</v>
      </c>
      <c r="C187" s="191">
        <v>159</v>
      </c>
      <c r="D187" s="191"/>
      <c r="E187" s="201" t="s">
        <v>28</v>
      </c>
      <c r="F187" s="183" t="s">
        <v>1040</v>
      </c>
      <c r="G187" s="183" t="s">
        <v>1041</v>
      </c>
      <c r="H187" s="184">
        <v>220271009495</v>
      </c>
      <c r="I187" s="185" t="s">
        <v>1042</v>
      </c>
      <c r="J187" s="146" t="s">
        <v>1043</v>
      </c>
      <c r="K187" s="247"/>
      <c r="L187" s="186">
        <v>44034</v>
      </c>
      <c r="M187" s="192">
        <f>'DB_1,0'!G142/5</f>
        <v>2300000</v>
      </c>
    </row>
    <row r="188" spans="1:13" hidden="1" x14ac:dyDescent="0.25">
      <c r="A188" s="191"/>
      <c r="B188" s="344" t="s">
        <v>1047</v>
      </c>
      <c r="C188" s="191">
        <v>160</v>
      </c>
      <c r="D188" s="191"/>
      <c r="E188" s="190" t="s">
        <v>862</v>
      </c>
      <c r="F188" s="183" t="s">
        <v>1044</v>
      </c>
      <c r="G188" s="183" t="s">
        <v>1045</v>
      </c>
      <c r="H188" s="184">
        <v>117011033292</v>
      </c>
      <c r="I188" s="185" t="s">
        <v>1046</v>
      </c>
      <c r="J188" s="146"/>
      <c r="K188" s="247"/>
      <c r="L188" s="186">
        <v>44035</v>
      </c>
      <c r="M188" s="192">
        <v>1200000</v>
      </c>
    </row>
    <row r="189" spans="1:13" hidden="1" x14ac:dyDescent="0.25">
      <c r="A189" s="191">
        <v>44</v>
      </c>
      <c r="B189" s="344" t="s">
        <v>311</v>
      </c>
      <c r="C189" s="191">
        <v>161</v>
      </c>
      <c r="D189" s="191"/>
      <c r="E189" s="190" t="s">
        <v>309</v>
      </c>
      <c r="F189" s="288"/>
      <c r="G189" s="288"/>
      <c r="H189" s="289"/>
      <c r="I189" s="290"/>
      <c r="J189" s="291"/>
      <c r="K189" s="292"/>
      <c r="L189" s="186">
        <v>44031</v>
      </c>
      <c r="M189" s="192">
        <f>'DB_1,0'!G53/5</f>
        <v>4550000</v>
      </c>
    </row>
    <row r="190" spans="1:13" hidden="1" x14ac:dyDescent="0.25">
      <c r="A190" s="191">
        <v>144</v>
      </c>
      <c r="B190" s="158" t="s">
        <v>829</v>
      </c>
      <c r="C190" s="191">
        <v>162</v>
      </c>
      <c r="D190" s="191"/>
      <c r="E190" s="201" t="s">
        <v>28</v>
      </c>
      <c r="F190" s="183" t="s">
        <v>1048</v>
      </c>
      <c r="G190" s="183" t="s">
        <v>1049</v>
      </c>
      <c r="H190" s="184">
        <v>117151008036</v>
      </c>
      <c r="I190" s="185" t="s">
        <v>1050</v>
      </c>
      <c r="J190" s="146" t="s">
        <v>1051</v>
      </c>
      <c r="K190" s="247"/>
      <c r="L190" s="186">
        <v>44037</v>
      </c>
      <c r="M190" s="192">
        <f>'DB_1,0'!G153/5</f>
        <v>2350000</v>
      </c>
    </row>
    <row r="191" spans="1:13" hidden="1" x14ac:dyDescent="0.25">
      <c r="A191" s="299">
        <v>136</v>
      </c>
      <c r="B191" s="5" t="s">
        <v>821</v>
      </c>
      <c r="C191" s="299">
        <v>163</v>
      </c>
      <c r="D191" s="299"/>
      <c r="E191" s="307" t="s">
        <v>87</v>
      </c>
      <c r="F191" s="293" t="s">
        <v>1052</v>
      </c>
      <c r="G191" s="293" t="s">
        <v>1053</v>
      </c>
      <c r="H191" s="294">
        <v>117171012463</v>
      </c>
      <c r="I191" s="295" t="s">
        <v>1054</v>
      </c>
      <c r="J191" s="296" t="s">
        <v>1055</v>
      </c>
      <c r="K191" s="297" t="s">
        <v>690</v>
      </c>
      <c r="L191" s="298">
        <v>44037</v>
      </c>
      <c r="M191" s="300">
        <f>'DB_1,0'!G145/5</f>
        <v>2250000</v>
      </c>
    </row>
    <row r="192" spans="1:13" hidden="1" x14ac:dyDescent="0.25">
      <c r="A192" s="191">
        <v>106</v>
      </c>
      <c r="B192" s="158" t="s">
        <v>793</v>
      </c>
      <c r="C192" s="191">
        <v>164</v>
      </c>
      <c r="D192" s="191"/>
      <c r="E192" s="201" t="s">
        <v>833</v>
      </c>
      <c r="F192" s="183" t="s">
        <v>1056</v>
      </c>
      <c r="G192" s="183" t="s">
        <v>1057</v>
      </c>
      <c r="H192" s="184">
        <v>101251145948</v>
      </c>
      <c r="I192" s="185" t="s">
        <v>1058</v>
      </c>
      <c r="J192" s="146" t="s">
        <v>1059</v>
      </c>
      <c r="K192" s="247"/>
      <c r="L192" s="186">
        <v>44037</v>
      </c>
      <c r="M192" s="192">
        <f>'DB_1,0'!G115/5</f>
        <v>3100000</v>
      </c>
    </row>
    <row r="193" spans="1:13" hidden="1" x14ac:dyDescent="0.25">
      <c r="A193" s="191">
        <v>129</v>
      </c>
      <c r="B193" s="158" t="s">
        <v>814</v>
      </c>
      <c r="C193" s="191">
        <v>166</v>
      </c>
      <c r="D193" s="191"/>
      <c r="E193" s="201" t="s">
        <v>28</v>
      </c>
      <c r="F193" s="183" t="s">
        <v>1060</v>
      </c>
      <c r="G193" s="183" t="s">
        <v>1061</v>
      </c>
      <c r="H193" s="184">
        <v>106461011074</v>
      </c>
      <c r="I193" s="185" t="s">
        <v>1062</v>
      </c>
      <c r="J193" s="146" t="s">
        <v>1063</v>
      </c>
      <c r="K193" s="247"/>
      <c r="L193" s="186">
        <v>44037</v>
      </c>
      <c r="M193" s="192">
        <f>'DB_1,0'!G138/5</f>
        <v>2400000</v>
      </c>
    </row>
    <row r="194" spans="1:13" hidden="1" x14ac:dyDescent="0.25">
      <c r="A194" s="191">
        <v>121</v>
      </c>
      <c r="B194" s="158" t="s">
        <v>807</v>
      </c>
      <c r="C194" s="191">
        <v>167</v>
      </c>
      <c r="D194" s="191"/>
      <c r="E194" s="201" t="s">
        <v>309</v>
      </c>
      <c r="F194" s="183" t="s">
        <v>615</v>
      </c>
      <c r="G194" s="183" t="s">
        <v>1065</v>
      </c>
      <c r="H194" s="184">
        <v>101241102304</v>
      </c>
      <c r="I194" s="185" t="s">
        <v>1066</v>
      </c>
      <c r="J194" s="146" t="s">
        <v>1067</v>
      </c>
      <c r="K194" s="247"/>
      <c r="L194" s="186">
        <v>44039</v>
      </c>
      <c r="M194" s="192">
        <f>'DB_1,0'!G130/5</f>
        <v>3000000</v>
      </c>
    </row>
    <row r="195" spans="1:13" hidden="1" x14ac:dyDescent="0.25">
      <c r="A195" s="191">
        <v>42</v>
      </c>
      <c r="B195" s="158" t="s">
        <v>363</v>
      </c>
      <c r="C195" s="146">
        <v>168</v>
      </c>
      <c r="D195" s="191" t="s">
        <v>1068</v>
      </c>
      <c r="E195" s="201" t="s">
        <v>309</v>
      </c>
      <c r="F195" s="183" t="s">
        <v>1069</v>
      </c>
      <c r="G195" s="183" t="s">
        <v>1070</v>
      </c>
      <c r="H195" s="184">
        <v>101212220423</v>
      </c>
      <c r="I195" s="185" t="s">
        <v>1071</v>
      </c>
      <c r="J195" s="146" t="s">
        <v>1072</v>
      </c>
      <c r="K195" s="247" t="s">
        <v>1073</v>
      </c>
      <c r="L195" s="186">
        <v>44039</v>
      </c>
      <c r="M195" s="192">
        <f>23000000/5</f>
        <v>4600000</v>
      </c>
    </row>
    <row r="196" spans="1:13" hidden="1" x14ac:dyDescent="0.25">
      <c r="A196" s="191">
        <v>128</v>
      </c>
      <c r="B196" s="158" t="s">
        <v>813</v>
      </c>
      <c r="C196" s="191"/>
      <c r="D196" s="191">
        <v>89</v>
      </c>
      <c r="E196" s="201" t="s">
        <v>87</v>
      </c>
      <c r="F196" s="183" t="s">
        <v>1074</v>
      </c>
      <c r="G196" s="183" t="s">
        <v>1075</v>
      </c>
      <c r="H196" s="184">
        <v>101251141114</v>
      </c>
      <c r="I196" s="185" t="s">
        <v>1076</v>
      </c>
      <c r="J196" s="146" t="s">
        <v>1077</v>
      </c>
      <c r="K196" s="247"/>
      <c r="L196" s="186">
        <v>44039</v>
      </c>
      <c r="M196" s="192">
        <f>'DB_1,0'!G137/5</f>
        <v>2300000</v>
      </c>
    </row>
    <row r="197" spans="1:13" hidden="1" x14ac:dyDescent="0.25">
      <c r="A197" s="13">
        <v>140</v>
      </c>
      <c r="B197" s="381" t="s">
        <v>816</v>
      </c>
      <c r="C197" s="191">
        <v>170</v>
      </c>
      <c r="D197" s="191"/>
      <c r="E197" s="201" t="s">
        <v>28</v>
      </c>
      <c r="F197" s="183" t="s">
        <v>1086</v>
      </c>
      <c r="G197" s="183" t="s">
        <v>1087</v>
      </c>
      <c r="H197" s="184">
        <v>101981064251</v>
      </c>
      <c r="I197" s="185" t="s">
        <v>1088</v>
      </c>
      <c r="J197" s="146" t="s">
        <v>1089</v>
      </c>
      <c r="K197" s="247"/>
      <c r="L197" s="186">
        <v>44042</v>
      </c>
      <c r="M197" s="192">
        <f>'DB_1,0'!G149/5</f>
        <v>2250000</v>
      </c>
    </row>
    <row r="198" spans="1:13" hidden="1" x14ac:dyDescent="0.25">
      <c r="A198" s="191">
        <v>97</v>
      </c>
      <c r="B198" s="378" t="s">
        <v>764</v>
      </c>
      <c r="C198" s="191">
        <v>171</v>
      </c>
      <c r="D198" s="191"/>
      <c r="E198" s="272" t="s">
        <v>87</v>
      </c>
      <c r="F198" s="183" t="s">
        <v>1078</v>
      </c>
      <c r="G198" s="183" t="s">
        <v>1079</v>
      </c>
      <c r="H198" s="184">
        <v>101231136877</v>
      </c>
      <c r="I198" s="185" t="s">
        <v>1080</v>
      </c>
      <c r="J198" s="146" t="s">
        <v>1081</v>
      </c>
      <c r="K198" s="247"/>
      <c r="L198" s="186">
        <v>44040</v>
      </c>
      <c r="M198" s="192">
        <f>'DB_1,0'!G106/5</f>
        <v>3300000</v>
      </c>
    </row>
    <row r="199" spans="1:13" hidden="1" x14ac:dyDescent="0.25">
      <c r="A199" s="191">
        <v>134</v>
      </c>
      <c r="B199" s="158" t="s">
        <v>819</v>
      </c>
      <c r="C199" s="191">
        <v>172</v>
      </c>
      <c r="D199" s="191"/>
      <c r="E199" s="201" t="s">
        <v>28</v>
      </c>
      <c r="F199" s="183" t="s">
        <v>1082</v>
      </c>
      <c r="G199" s="183" t="s">
        <v>1083</v>
      </c>
      <c r="H199" s="184">
        <v>102032024690</v>
      </c>
      <c r="I199" s="185" t="s">
        <v>1084</v>
      </c>
      <c r="J199" s="146" t="s">
        <v>1085</v>
      </c>
      <c r="K199" s="247"/>
      <c r="L199" s="186">
        <v>44041</v>
      </c>
      <c r="M199" s="192">
        <f>'DB_1,0'!G143/5</f>
        <v>2200000</v>
      </c>
    </row>
    <row r="200" spans="1:13" hidden="1" x14ac:dyDescent="0.25">
      <c r="A200" s="191"/>
      <c r="B200" s="344" t="s">
        <v>1095</v>
      </c>
      <c r="C200" s="191">
        <v>173</v>
      </c>
      <c r="D200" s="191"/>
      <c r="E200" s="190" t="s">
        <v>87</v>
      </c>
      <c r="F200" s="183" t="s">
        <v>1093</v>
      </c>
      <c r="G200" s="183" t="s">
        <v>1094</v>
      </c>
      <c r="H200" s="184"/>
      <c r="I200" s="185"/>
      <c r="J200" s="146"/>
      <c r="K200" s="247"/>
      <c r="L200" s="186">
        <v>44042</v>
      </c>
      <c r="M200" s="192"/>
    </row>
    <row r="201" spans="1:13" hidden="1" x14ac:dyDescent="0.25">
      <c r="A201" s="191">
        <v>147</v>
      </c>
      <c r="B201" s="344" t="s">
        <v>845</v>
      </c>
      <c r="C201" s="191">
        <v>174</v>
      </c>
      <c r="D201" s="191"/>
      <c r="E201" s="190" t="s">
        <v>435</v>
      </c>
      <c r="F201" s="183" t="s">
        <v>1096</v>
      </c>
      <c r="G201" s="183" t="s">
        <v>1097</v>
      </c>
      <c r="H201" s="184">
        <v>117071010172</v>
      </c>
      <c r="I201" s="185" t="s">
        <v>1098</v>
      </c>
      <c r="J201" s="146" t="s">
        <v>1099</v>
      </c>
      <c r="K201" s="247"/>
      <c r="L201" s="186">
        <v>44043</v>
      </c>
      <c r="M201" s="192">
        <v>3400000</v>
      </c>
    </row>
    <row r="202" spans="1:13" hidden="1" x14ac:dyDescent="0.25">
      <c r="A202" s="191"/>
      <c r="B202" s="344" t="s">
        <v>943</v>
      </c>
      <c r="C202" s="191"/>
      <c r="D202" s="191">
        <v>90</v>
      </c>
      <c r="E202" s="190" t="s">
        <v>87</v>
      </c>
      <c r="F202" s="183" t="s">
        <v>1104</v>
      </c>
      <c r="G202" s="183" t="s">
        <v>1105</v>
      </c>
      <c r="H202" s="184">
        <v>111011008995</v>
      </c>
      <c r="I202" s="185" t="s">
        <v>1106</v>
      </c>
      <c r="J202" s="146" t="s">
        <v>1107</v>
      </c>
      <c r="K202" s="247"/>
      <c r="L202" s="186">
        <v>44045</v>
      </c>
      <c r="M202" s="192">
        <v>3000000</v>
      </c>
    </row>
    <row r="203" spans="1:13" hidden="1" x14ac:dyDescent="0.25">
      <c r="A203" s="191"/>
      <c r="B203" s="344" t="s">
        <v>1110</v>
      </c>
      <c r="C203" s="191">
        <v>175</v>
      </c>
      <c r="D203" s="191"/>
      <c r="E203" s="190" t="s">
        <v>1109</v>
      </c>
      <c r="F203" s="183" t="s">
        <v>750</v>
      </c>
      <c r="G203" s="183" t="s">
        <v>751</v>
      </c>
      <c r="H203" s="184"/>
      <c r="I203" s="185"/>
      <c r="J203" s="146" t="s">
        <v>1108</v>
      </c>
      <c r="K203" s="247"/>
      <c r="L203" s="186">
        <v>44046</v>
      </c>
      <c r="M203" s="192"/>
    </row>
    <row r="204" spans="1:13" hidden="1" x14ac:dyDescent="0.25">
      <c r="A204" s="191"/>
      <c r="B204" s="344" t="s">
        <v>1115</v>
      </c>
      <c r="C204" s="191">
        <v>176</v>
      </c>
      <c r="D204" s="191"/>
      <c r="E204" s="190" t="s">
        <v>87</v>
      </c>
      <c r="F204" s="183" t="s">
        <v>1111</v>
      </c>
      <c r="G204" s="183" t="s">
        <v>1112</v>
      </c>
      <c r="H204" s="184">
        <v>117171016036</v>
      </c>
      <c r="I204" s="185" t="s">
        <v>1113</v>
      </c>
      <c r="J204" s="146" t="s">
        <v>1114</v>
      </c>
      <c r="K204" s="247"/>
      <c r="L204" s="186">
        <v>44046</v>
      </c>
      <c r="M204" s="192">
        <v>2600000</v>
      </c>
    </row>
    <row r="205" spans="1:13" ht="14.25" hidden="1" customHeight="1" x14ac:dyDescent="0.25">
      <c r="A205" s="191">
        <v>117</v>
      </c>
      <c r="B205" s="344" t="s">
        <v>803</v>
      </c>
      <c r="C205" s="191">
        <v>177</v>
      </c>
      <c r="D205" s="191"/>
      <c r="E205" s="190" t="s">
        <v>87</v>
      </c>
      <c r="F205" s="183" t="s">
        <v>1116</v>
      </c>
      <c r="G205" s="183" t="s">
        <v>1117</v>
      </c>
      <c r="H205" s="184">
        <v>117192007609</v>
      </c>
      <c r="I205" s="185" t="s">
        <v>1118</v>
      </c>
      <c r="J205" s="146" t="s">
        <v>1119</v>
      </c>
      <c r="K205" s="247" t="s">
        <v>1120</v>
      </c>
      <c r="L205" s="186">
        <v>44047</v>
      </c>
      <c r="M205" s="192">
        <v>2600000</v>
      </c>
    </row>
    <row r="206" spans="1:13" x14ac:dyDescent="0.25">
      <c r="A206" s="191"/>
      <c r="B206" s="344" t="s">
        <v>1125</v>
      </c>
      <c r="C206" s="191">
        <v>178</v>
      </c>
      <c r="D206" s="191"/>
      <c r="E206" s="190" t="s">
        <v>777</v>
      </c>
      <c r="F206" s="183" t="s">
        <v>1121</v>
      </c>
      <c r="G206" s="183" t="s">
        <v>1122</v>
      </c>
      <c r="H206" s="184">
        <v>101251203651</v>
      </c>
      <c r="I206" s="185" t="s">
        <v>1123</v>
      </c>
      <c r="J206" s="146" t="s">
        <v>1124</v>
      </c>
      <c r="K206" s="247"/>
      <c r="L206" s="186">
        <v>44054</v>
      </c>
      <c r="M206" s="192">
        <v>600000</v>
      </c>
    </row>
    <row r="207" spans="1:13" hidden="1" x14ac:dyDescent="0.25">
      <c r="A207" s="191"/>
      <c r="B207" s="344" t="s">
        <v>1130</v>
      </c>
      <c r="C207" s="191">
        <v>179</v>
      </c>
      <c r="D207" s="191"/>
      <c r="E207" s="190" t="s">
        <v>435</v>
      </c>
      <c r="F207" s="183" t="s">
        <v>1126</v>
      </c>
      <c r="G207" s="183" t="s">
        <v>1127</v>
      </c>
      <c r="H207" s="184">
        <v>101251091621</v>
      </c>
      <c r="I207" s="185" t="s">
        <v>1128</v>
      </c>
      <c r="J207" s="146"/>
      <c r="K207" s="247" t="s">
        <v>1129</v>
      </c>
      <c r="L207" s="186">
        <v>44047</v>
      </c>
      <c r="M207" s="192">
        <v>3800000</v>
      </c>
    </row>
    <row r="208" spans="1:13" hidden="1" x14ac:dyDescent="0.25">
      <c r="A208" s="191"/>
      <c r="B208" s="344" t="s">
        <v>1135</v>
      </c>
      <c r="C208" s="191">
        <v>180</v>
      </c>
      <c r="D208" s="191"/>
      <c r="E208" s="190" t="s">
        <v>87</v>
      </c>
      <c r="F208" s="183" t="s">
        <v>1131</v>
      </c>
      <c r="G208" s="183" t="s">
        <v>1132</v>
      </c>
      <c r="H208" s="184">
        <v>101211170650</v>
      </c>
      <c r="I208" s="185" t="s">
        <v>1133</v>
      </c>
      <c r="J208" s="146" t="s">
        <v>1134</v>
      </c>
      <c r="K208" s="247" t="s">
        <v>1129</v>
      </c>
      <c r="L208" s="186">
        <v>44048</v>
      </c>
      <c r="M208" s="192">
        <v>2600000</v>
      </c>
    </row>
    <row r="209" spans="1:13" hidden="1" x14ac:dyDescent="0.25">
      <c r="A209" s="191"/>
      <c r="B209" s="344" t="s">
        <v>1140</v>
      </c>
      <c r="C209" s="191">
        <v>181</v>
      </c>
      <c r="D209" s="191"/>
      <c r="E209" s="190" t="s">
        <v>87</v>
      </c>
      <c r="F209" s="183" t="s">
        <v>1136</v>
      </c>
      <c r="G209" s="183" t="s">
        <v>1137</v>
      </c>
      <c r="H209" s="184">
        <v>102371005133</v>
      </c>
      <c r="I209" s="185" t="s">
        <v>1138</v>
      </c>
      <c r="J209" s="146" t="s">
        <v>1139</v>
      </c>
      <c r="K209" s="247"/>
      <c r="L209" s="186">
        <v>44049</v>
      </c>
      <c r="M209" s="192">
        <v>2500000</v>
      </c>
    </row>
    <row r="210" spans="1:13" hidden="1" x14ac:dyDescent="0.25">
      <c r="A210" s="191"/>
      <c r="B210" s="344" t="s">
        <v>848</v>
      </c>
      <c r="C210" s="191">
        <v>182</v>
      </c>
      <c r="D210" s="191"/>
      <c r="E210" s="190" t="s">
        <v>435</v>
      </c>
      <c r="F210" s="183" t="s">
        <v>1141</v>
      </c>
      <c r="G210" s="183" t="s">
        <v>1142</v>
      </c>
      <c r="H210" s="184">
        <v>101221084979</v>
      </c>
      <c r="I210" s="185" t="s">
        <v>1143</v>
      </c>
      <c r="J210" s="146" t="s">
        <v>1144</v>
      </c>
      <c r="K210" s="247"/>
      <c r="L210" s="186">
        <v>44049</v>
      </c>
      <c r="M210" s="192">
        <v>3300000</v>
      </c>
    </row>
    <row r="211" spans="1:13" hidden="1" x14ac:dyDescent="0.25">
      <c r="A211" s="191"/>
      <c r="B211" s="344" t="s">
        <v>1148</v>
      </c>
      <c r="C211" s="191">
        <v>183</v>
      </c>
      <c r="D211" s="191"/>
      <c r="E211" s="190" t="s">
        <v>87</v>
      </c>
      <c r="F211" s="183" t="s">
        <v>1146</v>
      </c>
      <c r="G211" s="183" t="s">
        <v>1147</v>
      </c>
      <c r="H211" s="184">
        <v>101987066342</v>
      </c>
      <c r="I211" s="185"/>
      <c r="J211" s="146"/>
      <c r="K211" s="247"/>
      <c r="L211" s="186">
        <v>44050</v>
      </c>
      <c r="M211" s="192"/>
    </row>
    <row r="212" spans="1:13" hidden="1" x14ac:dyDescent="0.25">
      <c r="A212" s="191"/>
      <c r="B212" s="344" t="s">
        <v>1152</v>
      </c>
      <c r="C212" s="191">
        <v>184</v>
      </c>
      <c r="D212" s="191"/>
      <c r="E212" s="190" t="s">
        <v>87</v>
      </c>
      <c r="F212" s="183" t="s">
        <v>1149</v>
      </c>
      <c r="G212" s="183" t="s">
        <v>1150</v>
      </c>
      <c r="H212" s="184">
        <v>101241144483</v>
      </c>
      <c r="I212" s="185"/>
      <c r="J212" s="146" t="s">
        <v>1151</v>
      </c>
      <c r="K212" s="247"/>
      <c r="L212" s="186">
        <v>44050</v>
      </c>
      <c r="M212" s="192"/>
    </row>
    <row r="213" spans="1:13" hidden="1" x14ac:dyDescent="0.25">
      <c r="A213" s="191"/>
      <c r="B213" s="344" t="s">
        <v>802</v>
      </c>
      <c r="C213" s="191">
        <v>185</v>
      </c>
      <c r="D213" s="191"/>
      <c r="E213" s="190" t="s">
        <v>87</v>
      </c>
      <c r="F213" s="183" t="s">
        <v>1153</v>
      </c>
      <c r="G213" s="183" t="s">
        <v>1154</v>
      </c>
      <c r="H213" s="184">
        <v>101241117027</v>
      </c>
      <c r="I213" s="185" t="s">
        <v>1155</v>
      </c>
      <c r="J213" s="146" t="s">
        <v>1156</v>
      </c>
      <c r="K213" s="247"/>
      <c r="L213" s="186">
        <v>44050</v>
      </c>
      <c r="M213" s="192">
        <v>2350000</v>
      </c>
    </row>
    <row r="214" spans="1:13" hidden="1" x14ac:dyDescent="0.25">
      <c r="A214" s="191">
        <v>104</v>
      </c>
      <c r="B214" s="158" t="s">
        <v>791</v>
      </c>
      <c r="C214" s="191">
        <v>186</v>
      </c>
      <c r="D214" s="191"/>
      <c r="E214" s="201" t="s">
        <v>833</v>
      </c>
      <c r="F214" s="183" t="s">
        <v>1157</v>
      </c>
      <c r="G214" s="183" t="s">
        <v>1158</v>
      </c>
      <c r="H214" s="184">
        <v>101231093948</v>
      </c>
      <c r="I214" s="185" t="s">
        <v>1159</v>
      </c>
      <c r="J214" s="146"/>
      <c r="K214" s="247"/>
      <c r="L214" s="186">
        <v>44051</v>
      </c>
      <c r="M214" s="192">
        <f>'DB_1,0'!G113/5</f>
        <v>3150000</v>
      </c>
    </row>
    <row r="215" spans="1:13" hidden="1" x14ac:dyDescent="0.25">
      <c r="A215" s="191">
        <v>158</v>
      </c>
      <c r="B215" s="378" t="s">
        <v>1092</v>
      </c>
      <c r="C215" s="191">
        <v>187</v>
      </c>
      <c r="D215" s="191"/>
      <c r="E215" s="272" t="s">
        <v>309</v>
      </c>
      <c r="F215" s="183" t="s">
        <v>1160</v>
      </c>
      <c r="G215" s="183" t="s">
        <v>1161</v>
      </c>
      <c r="H215" s="184">
        <v>117191017419</v>
      </c>
      <c r="I215" s="185" t="s">
        <v>1162</v>
      </c>
      <c r="J215" s="146" t="s">
        <v>1163</v>
      </c>
      <c r="K215" s="297" t="s">
        <v>1206</v>
      </c>
      <c r="L215" s="186">
        <v>44051</v>
      </c>
      <c r="M215" s="192">
        <f>'DB_1,0'!G167/5</f>
        <v>4850000</v>
      </c>
    </row>
    <row r="216" spans="1:13" hidden="1" x14ac:dyDescent="0.25">
      <c r="A216" s="191"/>
      <c r="B216" s="344" t="s">
        <v>1166</v>
      </c>
      <c r="C216" s="191">
        <v>188</v>
      </c>
      <c r="D216" s="191"/>
      <c r="E216" s="190" t="s">
        <v>87</v>
      </c>
      <c r="F216" s="183" t="s">
        <v>1174</v>
      </c>
      <c r="G216" s="183" t="s">
        <v>1164</v>
      </c>
      <c r="H216" s="184">
        <v>101251196454</v>
      </c>
      <c r="I216" s="185" t="s">
        <v>1165</v>
      </c>
      <c r="J216" s="146"/>
      <c r="K216" s="247"/>
      <c r="L216" s="186">
        <v>44051</v>
      </c>
      <c r="M216" s="192"/>
    </row>
    <row r="217" spans="1:13" hidden="1" x14ac:dyDescent="0.25">
      <c r="A217" s="191">
        <v>159</v>
      </c>
      <c r="B217" s="158" t="s">
        <v>1102</v>
      </c>
      <c r="C217" s="191"/>
      <c r="D217" s="191">
        <v>91</v>
      </c>
      <c r="E217" s="201" t="s">
        <v>309</v>
      </c>
      <c r="F217" s="183" t="s">
        <v>484</v>
      </c>
      <c r="G217" s="183" t="s">
        <v>1175</v>
      </c>
      <c r="H217" s="184">
        <v>117191014439</v>
      </c>
      <c r="I217" s="185" t="s">
        <v>1176</v>
      </c>
      <c r="J217" s="146" t="s">
        <v>1177</v>
      </c>
      <c r="K217" s="297" t="s">
        <v>1206</v>
      </c>
      <c r="L217" s="186">
        <v>44051</v>
      </c>
      <c r="M217" s="192">
        <f>'DB_1,0'!G168/5</f>
        <v>4600000</v>
      </c>
    </row>
    <row r="218" spans="1:13" hidden="1" x14ac:dyDescent="0.25">
      <c r="A218" s="191">
        <v>110</v>
      </c>
      <c r="B218" s="158" t="s">
        <v>797</v>
      </c>
      <c r="C218" s="191"/>
      <c r="D218" s="191">
        <v>92</v>
      </c>
      <c r="E218" s="201" t="s">
        <v>87</v>
      </c>
      <c r="F218" s="183" t="s">
        <v>1220</v>
      </c>
      <c r="G218" s="183" t="s">
        <v>1182</v>
      </c>
      <c r="H218" s="184">
        <v>101241153970</v>
      </c>
      <c r="I218" s="185" t="s">
        <v>1183</v>
      </c>
      <c r="J218" s="146" t="s">
        <v>1184</v>
      </c>
      <c r="K218" s="297" t="s">
        <v>1206</v>
      </c>
      <c r="L218" s="186">
        <v>44051</v>
      </c>
      <c r="M218" s="192">
        <f>'DB_1,0'!G119/5</f>
        <v>2530000</v>
      </c>
    </row>
    <row r="219" spans="1:13" hidden="1" x14ac:dyDescent="0.25">
      <c r="A219" s="191"/>
      <c r="B219" s="344" t="s">
        <v>1170</v>
      </c>
      <c r="C219" s="191">
        <v>189</v>
      </c>
      <c r="D219" s="191"/>
      <c r="E219" s="190" t="s">
        <v>87</v>
      </c>
      <c r="F219" s="183" t="s">
        <v>1167</v>
      </c>
      <c r="G219" s="183" t="s">
        <v>1168</v>
      </c>
      <c r="H219" s="184">
        <v>106291000510</v>
      </c>
      <c r="I219" s="185" t="s">
        <v>1169</v>
      </c>
      <c r="J219" s="146"/>
      <c r="K219" s="247"/>
      <c r="L219" s="186">
        <v>44053</v>
      </c>
      <c r="M219" s="192"/>
    </row>
    <row r="220" spans="1:13" hidden="1" x14ac:dyDescent="0.25">
      <c r="A220" s="191"/>
      <c r="B220" s="344" t="s">
        <v>1173</v>
      </c>
      <c r="C220" s="191">
        <v>190</v>
      </c>
      <c r="D220" s="191"/>
      <c r="E220" s="190" t="s">
        <v>1172</v>
      </c>
      <c r="F220" s="183" t="s">
        <v>63</v>
      </c>
      <c r="G220" s="183" t="s">
        <v>881</v>
      </c>
      <c r="H220" s="184">
        <v>103071015717</v>
      </c>
      <c r="I220" s="185" t="s">
        <v>1171</v>
      </c>
      <c r="J220" s="146"/>
      <c r="K220" s="247"/>
      <c r="L220" s="186">
        <v>44053</v>
      </c>
      <c r="M220" s="192"/>
    </row>
    <row r="221" spans="1:13" hidden="1" x14ac:dyDescent="0.25">
      <c r="A221" s="191"/>
      <c r="B221" s="344" t="s">
        <v>1100</v>
      </c>
      <c r="C221" s="299"/>
      <c r="D221" s="191"/>
      <c r="E221" s="190" t="s">
        <v>87</v>
      </c>
      <c r="F221" s="183" t="s">
        <v>1178</v>
      </c>
      <c r="G221" s="183" t="s">
        <v>1179</v>
      </c>
      <c r="H221" s="184">
        <v>101231146144</v>
      </c>
      <c r="I221" s="185" t="s">
        <v>1180</v>
      </c>
      <c r="J221" s="146" t="s">
        <v>1181</v>
      </c>
      <c r="K221" s="247"/>
      <c r="L221" s="186">
        <v>44053</v>
      </c>
      <c r="M221" s="192">
        <v>2800000</v>
      </c>
    </row>
    <row r="222" spans="1:13" hidden="1" x14ac:dyDescent="0.25">
      <c r="A222" s="191">
        <v>42</v>
      </c>
      <c r="B222" s="158" t="s">
        <v>363</v>
      </c>
      <c r="C222" s="146">
        <v>191</v>
      </c>
      <c r="D222" s="191"/>
      <c r="E222" s="201" t="s">
        <v>309</v>
      </c>
      <c r="F222" s="183" t="s">
        <v>1185</v>
      </c>
      <c r="G222" s="183" t="s">
        <v>1186</v>
      </c>
      <c r="H222" s="184">
        <v>117051004318</v>
      </c>
      <c r="I222" s="185" t="s">
        <v>1187</v>
      </c>
      <c r="J222" s="146" t="s">
        <v>1188</v>
      </c>
      <c r="K222" s="247"/>
      <c r="L222" s="186">
        <v>44053</v>
      </c>
      <c r="M222" s="192">
        <f>23000000/5</f>
        <v>4600000</v>
      </c>
    </row>
    <row r="223" spans="1:13" hidden="1" x14ac:dyDescent="0.25">
      <c r="A223" s="191">
        <v>110</v>
      </c>
      <c r="B223" s="158" t="s">
        <v>797</v>
      </c>
      <c r="C223" s="191">
        <v>193</v>
      </c>
      <c r="D223" s="191" t="s">
        <v>1192</v>
      </c>
      <c r="E223" s="201" t="s">
        <v>87</v>
      </c>
      <c r="F223" s="183" t="s">
        <v>1189</v>
      </c>
      <c r="G223" s="183" t="s">
        <v>1190</v>
      </c>
      <c r="H223" s="184">
        <v>106161003541</v>
      </c>
      <c r="I223" s="185" t="s">
        <v>1191</v>
      </c>
      <c r="J223" s="146" t="s">
        <v>857</v>
      </c>
      <c r="K223" s="247"/>
      <c r="L223" s="186">
        <v>44053</v>
      </c>
      <c r="M223" s="192">
        <f>'DB_1,0'!G124/5</f>
        <v>2100000</v>
      </c>
    </row>
    <row r="224" spans="1:13" hidden="1" x14ac:dyDescent="0.25">
      <c r="A224" s="191"/>
      <c r="B224" s="344" t="s">
        <v>1197</v>
      </c>
      <c r="C224" s="191">
        <v>194</v>
      </c>
      <c r="D224" s="191"/>
      <c r="E224" s="201" t="s">
        <v>87</v>
      </c>
      <c r="F224" s="183" t="s">
        <v>1193</v>
      </c>
      <c r="G224" s="183" t="s">
        <v>1194</v>
      </c>
      <c r="H224" s="184">
        <v>101212178703</v>
      </c>
      <c r="I224" s="185" t="s">
        <v>1195</v>
      </c>
      <c r="J224" s="146" t="s">
        <v>1196</v>
      </c>
      <c r="K224" s="247"/>
      <c r="L224" s="186">
        <v>44053</v>
      </c>
      <c r="M224" s="192">
        <v>2500000</v>
      </c>
    </row>
    <row r="225" spans="1:13" hidden="1" x14ac:dyDescent="0.25">
      <c r="A225" s="191"/>
      <c r="B225" s="344" t="s">
        <v>1201</v>
      </c>
      <c r="C225" s="191">
        <v>195</v>
      </c>
      <c r="D225" s="191"/>
      <c r="E225" s="201" t="s">
        <v>87</v>
      </c>
      <c r="F225" s="183" t="s">
        <v>1198</v>
      </c>
      <c r="G225" s="183" t="s">
        <v>1199</v>
      </c>
      <c r="H225" s="184">
        <v>103051000092</v>
      </c>
      <c r="I225" s="185" t="s">
        <v>925</v>
      </c>
      <c r="J225" s="146" t="s">
        <v>1200</v>
      </c>
      <c r="K225" s="247"/>
      <c r="L225" s="186">
        <v>44053</v>
      </c>
      <c r="M225" s="192">
        <v>2500000</v>
      </c>
    </row>
    <row r="226" spans="1:13" hidden="1" x14ac:dyDescent="0.25">
      <c r="A226" s="191"/>
      <c r="B226" s="344" t="s">
        <v>1205</v>
      </c>
      <c r="C226" s="191">
        <v>197</v>
      </c>
      <c r="D226" s="191"/>
      <c r="E226" s="190" t="s">
        <v>224</v>
      </c>
      <c r="F226" s="183" t="s">
        <v>1202</v>
      </c>
      <c r="G226" s="183" t="s">
        <v>4458</v>
      </c>
      <c r="H226" s="184">
        <v>203011024263</v>
      </c>
      <c r="I226" s="185" t="s">
        <v>1203</v>
      </c>
      <c r="J226" s="146" t="s">
        <v>1204</v>
      </c>
      <c r="K226" s="297" t="s">
        <v>1206</v>
      </c>
      <c r="L226" s="186">
        <v>44053</v>
      </c>
      <c r="M226" s="192">
        <v>1800000</v>
      </c>
    </row>
    <row r="227" spans="1:13" hidden="1" x14ac:dyDescent="0.25">
      <c r="A227" s="191">
        <v>76</v>
      </c>
      <c r="B227" s="344" t="s">
        <v>447</v>
      </c>
      <c r="C227" s="146">
        <v>198</v>
      </c>
      <c r="D227" s="191"/>
      <c r="E227" s="196" t="s">
        <v>435</v>
      </c>
      <c r="F227" s="183" t="s">
        <v>1207</v>
      </c>
      <c r="G227" s="183" t="s">
        <v>1208</v>
      </c>
      <c r="H227" s="184">
        <v>101251192899</v>
      </c>
      <c r="I227" s="185" t="s">
        <v>1209</v>
      </c>
      <c r="J227" s="146" t="s">
        <v>1210</v>
      </c>
      <c r="K227" s="247"/>
      <c r="L227" s="186">
        <v>44054</v>
      </c>
      <c r="M227" s="192">
        <f>17500000/5</f>
        <v>3500000</v>
      </c>
    </row>
    <row r="228" spans="1:13" hidden="1" x14ac:dyDescent="0.25">
      <c r="A228" s="191">
        <v>131</v>
      </c>
      <c r="B228" s="158" t="s">
        <v>825</v>
      </c>
      <c r="C228" s="191">
        <v>199</v>
      </c>
      <c r="D228" s="191"/>
      <c r="E228" s="322" t="s">
        <v>87</v>
      </c>
      <c r="F228" s="183" t="s">
        <v>1211</v>
      </c>
      <c r="G228" s="183" t="s">
        <v>1212</v>
      </c>
      <c r="H228" s="184">
        <v>201011030014</v>
      </c>
      <c r="I228" s="185" t="s">
        <v>1213</v>
      </c>
      <c r="J228" s="146" t="s">
        <v>1214</v>
      </c>
      <c r="K228" s="247"/>
      <c r="L228" s="186">
        <v>44055</v>
      </c>
      <c r="M228" s="192">
        <f>'DB_1,0'!G140/5</f>
        <v>2030000</v>
      </c>
    </row>
    <row r="229" spans="1:13" ht="30" hidden="1" x14ac:dyDescent="0.25">
      <c r="A229" s="321">
        <v>151</v>
      </c>
      <c r="B229" s="344" t="s">
        <v>849</v>
      </c>
      <c r="C229" s="321">
        <v>200</v>
      </c>
      <c r="D229" s="321" t="s">
        <v>1229</v>
      </c>
      <c r="E229" s="190" t="s">
        <v>435</v>
      </c>
      <c r="F229" s="183" t="s">
        <v>1226</v>
      </c>
      <c r="G229" s="183" t="s">
        <v>1227</v>
      </c>
      <c r="H229" s="184">
        <v>117011026026</v>
      </c>
      <c r="I229" s="185" t="s">
        <v>1228</v>
      </c>
      <c r="J229" s="146"/>
      <c r="K229" s="247" t="s">
        <v>955</v>
      </c>
      <c r="L229" s="186">
        <v>44057</v>
      </c>
      <c r="M229" s="192">
        <v>3200000</v>
      </c>
    </row>
    <row r="230" spans="1:13" ht="30" hidden="1" x14ac:dyDescent="0.25">
      <c r="A230" s="321">
        <v>25</v>
      </c>
      <c r="B230" s="344" t="s">
        <v>213</v>
      </c>
      <c r="C230" s="146">
        <v>201</v>
      </c>
      <c r="D230" s="321" t="s">
        <v>1234</v>
      </c>
      <c r="E230" s="196" t="s">
        <v>150</v>
      </c>
      <c r="F230" s="183" t="s">
        <v>1230</v>
      </c>
      <c r="G230" s="183" t="s">
        <v>1231</v>
      </c>
      <c r="H230" s="184">
        <v>115031004786</v>
      </c>
      <c r="I230" s="185" t="s">
        <v>1232</v>
      </c>
      <c r="J230" s="146" t="s">
        <v>1233</v>
      </c>
      <c r="K230" s="247" t="s">
        <v>955</v>
      </c>
      <c r="L230" s="186">
        <v>44057</v>
      </c>
      <c r="M230" s="192">
        <f>14000000/5</f>
        <v>2800000</v>
      </c>
    </row>
    <row r="231" spans="1:13" ht="30" hidden="1" x14ac:dyDescent="0.25">
      <c r="A231" s="321">
        <v>149</v>
      </c>
      <c r="B231" s="344" t="s">
        <v>847</v>
      </c>
      <c r="C231" s="321">
        <v>202</v>
      </c>
      <c r="D231" s="321" t="s">
        <v>1240</v>
      </c>
      <c r="E231" s="190" t="s">
        <v>435</v>
      </c>
      <c r="F231" s="183" t="s">
        <v>1235</v>
      </c>
      <c r="G231" s="183" t="s">
        <v>1236</v>
      </c>
      <c r="H231" s="184">
        <v>117071019717</v>
      </c>
      <c r="I231" s="185" t="s">
        <v>1237</v>
      </c>
      <c r="J231" s="146" t="s">
        <v>1238</v>
      </c>
      <c r="K231" s="247" t="s">
        <v>1239</v>
      </c>
      <c r="L231" s="186">
        <v>44057</v>
      </c>
      <c r="M231" s="192">
        <f>16750000/5</f>
        <v>3350000</v>
      </c>
    </row>
    <row r="232" spans="1:13" s="173" customFormat="1" ht="30" hidden="1" x14ac:dyDescent="0.25">
      <c r="A232" s="321">
        <v>88</v>
      </c>
      <c r="B232" s="344" t="s">
        <v>518</v>
      </c>
      <c r="C232" s="321">
        <v>203</v>
      </c>
      <c r="D232" s="321" t="s">
        <v>1245</v>
      </c>
      <c r="E232" s="204" t="s">
        <v>520</v>
      </c>
      <c r="F232" s="183" t="s">
        <v>1241</v>
      </c>
      <c r="G232" s="183" t="s">
        <v>1242</v>
      </c>
      <c r="H232" s="184">
        <v>106421011436</v>
      </c>
      <c r="I232" s="185" t="s">
        <v>1243</v>
      </c>
      <c r="J232" s="146" t="s">
        <v>1244</v>
      </c>
      <c r="K232" s="247" t="s">
        <v>1246</v>
      </c>
      <c r="L232" s="186">
        <v>44058</v>
      </c>
      <c r="M232" s="192">
        <f>2900000</f>
        <v>2900000</v>
      </c>
    </row>
    <row r="233" spans="1:13" hidden="1" x14ac:dyDescent="0.25">
      <c r="A233" s="191"/>
      <c r="B233" s="344" t="s">
        <v>1251</v>
      </c>
      <c r="C233" s="191">
        <v>204</v>
      </c>
      <c r="D233" s="191"/>
      <c r="E233" s="190" t="s">
        <v>436</v>
      </c>
      <c r="F233" s="183" t="s">
        <v>1247</v>
      </c>
      <c r="G233" s="183" t="s">
        <v>1248</v>
      </c>
      <c r="H233" s="184">
        <v>101251155848</v>
      </c>
      <c r="I233" s="185" t="s">
        <v>1249</v>
      </c>
      <c r="J233" s="146" t="s">
        <v>1250</v>
      </c>
      <c r="K233" s="247"/>
      <c r="L233" s="186">
        <v>44063</v>
      </c>
      <c r="M233" s="192">
        <v>3900000</v>
      </c>
    </row>
    <row r="234" spans="1:13" hidden="1" x14ac:dyDescent="0.25">
      <c r="A234" s="191">
        <v>157</v>
      </c>
      <c r="B234" s="344" t="s">
        <v>1091</v>
      </c>
      <c r="C234" s="191">
        <v>205</v>
      </c>
      <c r="D234" s="191"/>
      <c r="E234" s="190" t="s">
        <v>309</v>
      </c>
      <c r="F234" s="183" t="s">
        <v>1252</v>
      </c>
      <c r="G234" s="183" t="s">
        <v>1253</v>
      </c>
      <c r="H234" s="184">
        <v>107171004408</v>
      </c>
      <c r="I234" s="185" t="s">
        <v>1254</v>
      </c>
      <c r="J234" s="146"/>
      <c r="K234" s="247"/>
      <c r="L234" s="186">
        <v>44063</v>
      </c>
      <c r="M234" s="192">
        <v>4450000</v>
      </c>
    </row>
    <row r="235" spans="1:13" hidden="1" x14ac:dyDescent="0.25">
      <c r="A235" s="343">
        <v>127</v>
      </c>
      <c r="B235" s="158" t="s">
        <v>812</v>
      </c>
      <c r="C235" s="343" t="s">
        <v>1261</v>
      </c>
      <c r="D235" s="343" t="s">
        <v>1260</v>
      </c>
      <c r="E235" s="201" t="s">
        <v>87</v>
      </c>
      <c r="F235" s="183" t="s">
        <v>1256</v>
      </c>
      <c r="G235" s="183" t="s">
        <v>1257</v>
      </c>
      <c r="H235" s="184">
        <v>117031004421</v>
      </c>
      <c r="I235" s="185" t="s">
        <v>1258</v>
      </c>
      <c r="J235" s="146" t="s">
        <v>1259</v>
      </c>
      <c r="K235" s="247"/>
      <c r="L235" s="186">
        <v>44064</v>
      </c>
      <c r="M235" s="192">
        <v>2700000</v>
      </c>
    </row>
    <row r="236" spans="1:13" hidden="1" x14ac:dyDescent="0.25">
      <c r="A236" s="344">
        <v>142</v>
      </c>
      <c r="B236" s="158" t="s">
        <v>827</v>
      </c>
      <c r="C236" s="344">
        <v>206</v>
      </c>
      <c r="D236" s="344" t="s">
        <v>1331</v>
      </c>
      <c r="E236" s="201" t="s">
        <v>87</v>
      </c>
      <c r="F236" s="183" t="s">
        <v>911</v>
      </c>
      <c r="G236" s="183" t="s">
        <v>912</v>
      </c>
      <c r="H236" s="184"/>
      <c r="I236" s="185" t="s">
        <v>913</v>
      </c>
      <c r="J236" s="146" t="s">
        <v>914</v>
      </c>
      <c r="K236" s="247"/>
      <c r="L236" s="186">
        <v>44068</v>
      </c>
      <c r="M236" s="192">
        <f>M143</f>
        <v>3250000</v>
      </c>
    </row>
    <row r="237" spans="1:13" hidden="1" x14ac:dyDescent="0.25">
      <c r="A237" s="344">
        <v>167</v>
      </c>
      <c r="B237" s="382" t="s">
        <v>1269</v>
      </c>
      <c r="C237" s="344"/>
      <c r="D237" s="344">
        <v>95</v>
      </c>
      <c r="E237" s="201" t="s">
        <v>87</v>
      </c>
      <c r="F237" s="183" t="s">
        <v>384</v>
      </c>
      <c r="G237" s="183" t="s">
        <v>385</v>
      </c>
      <c r="H237" s="184">
        <v>101251171456</v>
      </c>
      <c r="I237" s="185" t="s">
        <v>614</v>
      </c>
      <c r="J237" s="146" t="s">
        <v>386</v>
      </c>
      <c r="K237" s="353" t="s">
        <v>1309</v>
      </c>
      <c r="L237" s="186">
        <v>44069</v>
      </c>
      <c r="M237" s="192">
        <f>'DB_1,0'!G171/5</f>
        <v>2400000</v>
      </c>
    </row>
    <row r="238" spans="1:13" hidden="1" x14ac:dyDescent="0.25">
      <c r="A238" s="344">
        <v>172</v>
      </c>
      <c r="B238" s="382" t="s">
        <v>1274</v>
      </c>
      <c r="C238" s="344"/>
      <c r="D238" s="344">
        <v>96</v>
      </c>
      <c r="E238" s="201" t="s">
        <v>87</v>
      </c>
      <c r="F238" s="183" t="s">
        <v>384</v>
      </c>
      <c r="G238" s="183" t="s">
        <v>385</v>
      </c>
      <c r="H238" s="184">
        <v>101251171456</v>
      </c>
      <c r="I238" s="185" t="s">
        <v>614</v>
      </c>
      <c r="J238" s="146" t="s">
        <v>386</v>
      </c>
      <c r="K238" s="353" t="s">
        <v>1309</v>
      </c>
      <c r="L238" s="186">
        <v>44069</v>
      </c>
      <c r="M238" s="192">
        <f>'DB_1,0'!G181/5</f>
        <v>2300000</v>
      </c>
    </row>
    <row r="239" spans="1:13" hidden="1" x14ac:dyDescent="0.25">
      <c r="A239" s="191">
        <v>186</v>
      </c>
      <c r="B239" s="382" t="s">
        <v>1291</v>
      </c>
      <c r="C239" s="191"/>
      <c r="D239" s="191">
        <v>97</v>
      </c>
      <c r="E239" s="190" t="s">
        <v>435</v>
      </c>
      <c r="F239" s="183" t="s">
        <v>92</v>
      </c>
      <c r="G239" s="183" t="s">
        <v>93</v>
      </c>
      <c r="H239" s="184">
        <v>110051004731</v>
      </c>
      <c r="I239" s="185" t="s">
        <v>94</v>
      </c>
      <c r="J239" s="193" t="s">
        <v>348</v>
      </c>
      <c r="K239" s="353" t="s">
        <v>1309</v>
      </c>
      <c r="L239" s="186">
        <v>44069</v>
      </c>
      <c r="M239" s="192">
        <v>3400000</v>
      </c>
    </row>
    <row r="240" spans="1:13" hidden="1" x14ac:dyDescent="0.25">
      <c r="A240" s="191">
        <v>174</v>
      </c>
      <c r="B240" s="382" t="s">
        <v>1276</v>
      </c>
      <c r="C240" s="191"/>
      <c r="D240" s="191">
        <v>98</v>
      </c>
      <c r="E240" s="201" t="s">
        <v>87</v>
      </c>
      <c r="F240" s="183" t="s">
        <v>1306</v>
      </c>
      <c r="G240" s="183" t="s">
        <v>1307</v>
      </c>
      <c r="H240" s="184">
        <v>117011016987</v>
      </c>
      <c r="I240" s="185" t="s">
        <v>1308</v>
      </c>
      <c r="J240" s="146" t="s">
        <v>1225</v>
      </c>
      <c r="K240" s="353" t="s">
        <v>1309</v>
      </c>
      <c r="L240" s="186">
        <v>44069</v>
      </c>
      <c r="M240" s="192">
        <v>2050000</v>
      </c>
    </row>
    <row r="241" spans="1:13" hidden="1" x14ac:dyDescent="0.25">
      <c r="A241" s="173">
        <v>191</v>
      </c>
      <c r="B241" s="382" t="s">
        <v>1293</v>
      </c>
      <c r="C241" s="191"/>
      <c r="D241" s="191">
        <v>99</v>
      </c>
      <c r="E241" s="354" t="s">
        <v>309</v>
      </c>
      <c r="F241" s="183" t="s">
        <v>92</v>
      </c>
      <c r="G241" s="183" t="s">
        <v>93</v>
      </c>
      <c r="H241" s="184">
        <v>110051004731</v>
      </c>
      <c r="I241" s="185" t="s">
        <v>94</v>
      </c>
      <c r="J241" s="193" t="s">
        <v>348</v>
      </c>
      <c r="K241" s="353" t="s">
        <v>1309</v>
      </c>
      <c r="L241" s="186">
        <v>44069</v>
      </c>
      <c r="M241" s="192">
        <v>4200000</v>
      </c>
    </row>
    <row r="242" spans="1:13" hidden="1" x14ac:dyDescent="0.25">
      <c r="A242" s="191">
        <v>156</v>
      </c>
      <c r="B242" s="344" t="s">
        <v>1090</v>
      </c>
      <c r="C242" s="191"/>
      <c r="D242" s="191">
        <v>100</v>
      </c>
      <c r="E242" s="354" t="s">
        <v>309</v>
      </c>
      <c r="F242" s="183" t="s">
        <v>923</v>
      </c>
      <c r="G242" s="183" t="s">
        <v>924</v>
      </c>
      <c r="H242" s="184">
        <v>103051012740</v>
      </c>
      <c r="I242" s="185" t="s">
        <v>925</v>
      </c>
      <c r="J242" s="146" t="s">
        <v>926</v>
      </c>
      <c r="K242" s="353" t="s">
        <v>1309</v>
      </c>
      <c r="L242" s="186">
        <v>44069</v>
      </c>
      <c r="M242" s="192">
        <v>4300000</v>
      </c>
    </row>
    <row r="243" spans="1:13" hidden="1" x14ac:dyDescent="0.25">
      <c r="A243" s="191">
        <v>182</v>
      </c>
      <c r="B243" s="382" t="s">
        <v>1284</v>
      </c>
      <c r="C243" s="191"/>
      <c r="D243" s="191">
        <v>101</v>
      </c>
      <c r="E243" s="201" t="s">
        <v>87</v>
      </c>
      <c r="F243" s="183" t="s">
        <v>1310</v>
      </c>
      <c r="G243" s="183" t="s">
        <v>1311</v>
      </c>
      <c r="H243" s="184">
        <v>101231163671</v>
      </c>
      <c r="I243" s="185" t="s">
        <v>1312</v>
      </c>
      <c r="J243" s="146" t="s">
        <v>1313</v>
      </c>
      <c r="K243" s="875" t="s">
        <v>1309</v>
      </c>
      <c r="L243" s="186">
        <v>44069</v>
      </c>
      <c r="M243" s="192">
        <f>'DB_1,0'!G191/5</f>
        <v>2750000</v>
      </c>
    </row>
    <row r="244" spans="1:13" hidden="1" x14ac:dyDescent="0.25">
      <c r="A244" s="191">
        <v>163</v>
      </c>
      <c r="B244" s="383" t="s">
        <v>1265</v>
      </c>
      <c r="C244" s="191"/>
      <c r="D244" s="191">
        <v>102</v>
      </c>
      <c r="E244" s="201" t="s">
        <v>87</v>
      </c>
      <c r="F244" s="183" t="s">
        <v>1310</v>
      </c>
      <c r="G244" s="183" t="s">
        <v>1311</v>
      </c>
      <c r="H244" s="184">
        <v>101231163671</v>
      </c>
      <c r="I244" s="185" t="s">
        <v>1312</v>
      </c>
      <c r="J244" s="146" t="s">
        <v>1313</v>
      </c>
      <c r="K244" s="876"/>
      <c r="L244" s="186">
        <v>44069</v>
      </c>
      <c r="M244" s="192">
        <f>'DB_1,0'!G172/5</f>
        <v>2730000</v>
      </c>
    </row>
    <row r="245" spans="1:13" hidden="1" x14ac:dyDescent="0.25">
      <c r="A245" s="191">
        <v>171</v>
      </c>
      <c r="B245" s="382" t="s">
        <v>1273</v>
      </c>
      <c r="C245" s="191"/>
      <c r="D245" s="191">
        <v>103</v>
      </c>
      <c r="E245" s="201" t="s">
        <v>87</v>
      </c>
      <c r="F245" s="183" t="s">
        <v>394</v>
      </c>
      <c r="G245" s="183" t="s">
        <v>395</v>
      </c>
      <c r="H245" s="184">
        <v>208031004927</v>
      </c>
      <c r="I245" s="185" t="s">
        <v>396</v>
      </c>
      <c r="J245" s="146" t="s">
        <v>397</v>
      </c>
      <c r="K245" s="353" t="s">
        <v>1314</v>
      </c>
      <c r="L245" s="186">
        <v>44069</v>
      </c>
      <c r="M245" s="192">
        <v>2250000</v>
      </c>
    </row>
    <row r="246" spans="1:13" hidden="1" x14ac:dyDescent="0.25">
      <c r="A246" s="191">
        <v>169</v>
      </c>
      <c r="B246" s="382" t="s">
        <v>1271</v>
      </c>
      <c r="C246" s="191"/>
      <c r="D246" s="191">
        <v>104</v>
      </c>
      <c r="E246" s="201" t="s">
        <v>87</v>
      </c>
      <c r="F246" s="183" t="s">
        <v>1315</v>
      </c>
      <c r="G246" s="183" t="s">
        <v>395</v>
      </c>
      <c r="H246" s="184">
        <v>208031004927</v>
      </c>
      <c r="I246" s="185" t="s">
        <v>396</v>
      </c>
      <c r="J246" s="146" t="s">
        <v>397</v>
      </c>
      <c r="K246" s="353" t="s">
        <v>1314</v>
      </c>
      <c r="L246" s="186">
        <v>44069</v>
      </c>
      <c r="M246" s="192">
        <v>2250000</v>
      </c>
    </row>
    <row r="247" spans="1:13" hidden="1" x14ac:dyDescent="0.25">
      <c r="A247" s="191">
        <v>195</v>
      </c>
      <c r="B247" s="382" t="s">
        <v>1297</v>
      </c>
      <c r="C247" s="191"/>
      <c r="D247" s="191">
        <v>105</v>
      </c>
      <c r="E247" s="190" t="s">
        <v>435</v>
      </c>
      <c r="F247" s="183" t="s">
        <v>1316</v>
      </c>
      <c r="G247" s="183" t="s">
        <v>1317</v>
      </c>
      <c r="H247" s="184">
        <v>102031038419</v>
      </c>
      <c r="I247" s="185" t="s">
        <v>1318</v>
      </c>
      <c r="J247" s="146" t="s">
        <v>344</v>
      </c>
      <c r="K247" s="353" t="s">
        <v>1319</v>
      </c>
      <c r="L247" s="186">
        <v>44069</v>
      </c>
      <c r="M247" s="192">
        <v>3400000</v>
      </c>
    </row>
    <row r="248" spans="1:13" hidden="1" x14ac:dyDescent="0.25">
      <c r="A248" s="191">
        <v>177</v>
      </c>
      <c r="B248" s="382" t="s">
        <v>1279</v>
      </c>
      <c r="C248" s="191"/>
      <c r="D248" s="191">
        <v>106</v>
      </c>
      <c r="E248" s="201" t="s">
        <v>87</v>
      </c>
      <c r="F248" s="183" t="s">
        <v>1320</v>
      </c>
      <c r="G248" s="183" t="s">
        <v>1321</v>
      </c>
      <c r="H248" s="184">
        <v>105011012277</v>
      </c>
      <c r="I248" s="185" t="s">
        <v>1322</v>
      </c>
      <c r="J248" s="146" t="s">
        <v>1323</v>
      </c>
      <c r="K248" s="353" t="s">
        <v>1309</v>
      </c>
      <c r="L248" s="186">
        <v>44069</v>
      </c>
      <c r="M248" s="192">
        <v>2400000</v>
      </c>
    </row>
    <row r="249" spans="1:13" hidden="1" x14ac:dyDescent="0.25">
      <c r="A249" s="191">
        <v>198</v>
      </c>
      <c r="B249" s="382" t="s">
        <v>1300</v>
      </c>
      <c r="C249" s="191">
        <v>207</v>
      </c>
      <c r="D249" s="191"/>
      <c r="E249" s="354" t="s">
        <v>435</v>
      </c>
      <c r="F249" s="183" t="s">
        <v>1324</v>
      </c>
      <c r="G249" s="183" t="s">
        <v>1325</v>
      </c>
      <c r="H249" s="184">
        <v>511011011008</v>
      </c>
      <c r="I249" s="185" t="s">
        <v>1326</v>
      </c>
      <c r="J249" s="146" t="s">
        <v>1327</v>
      </c>
      <c r="K249" s="247"/>
      <c r="L249" s="186">
        <v>44069</v>
      </c>
      <c r="M249" s="192">
        <f>'DB_1,0'!G207/5</f>
        <v>3500000</v>
      </c>
    </row>
    <row r="250" spans="1:13" hidden="1" x14ac:dyDescent="0.25">
      <c r="A250" s="191">
        <v>196</v>
      </c>
      <c r="B250" s="382" t="s">
        <v>1298</v>
      </c>
      <c r="C250" s="191">
        <v>208</v>
      </c>
      <c r="D250" s="191"/>
      <c r="E250" s="354" t="s">
        <v>435</v>
      </c>
      <c r="F250" s="183" t="s">
        <v>1328</v>
      </c>
      <c r="G250" s="183" t="s">
        <v>1329</v>
      </c>
      <c r="H250" s="184">
        <v>101211205451</v>
      </c>
      <c r="I250" s="185" t="s">
        <v>1330</v>
      </c>
      <c r="J250" s="146" t="s">
        <v>1224</v>
      </c>
      <c r="K250" s="247"/>
      <c r="L250" s="186">
        <v>44069</v>
      </c>
      <c r="M250" s="192">
        <f>'DB_1,0'!G205/5</f>
        <v>3500000</v>
      </c>
    </row>
    <row r="251" spans="1:13" hidden="1" x14ac:dyDescent="0.25">
      <c r="A251" s="191">
        <v>179</v>
      </c>
      <c r="B251" s="344" t="s">
        <v>1281</v>
      </c>
      <c r="C251" s="191">
        <v>209</v>
      </c>
      <c r="D251" s="191"/>
      <c r="E251" s="190" t="s">
        <v>87</v>
      </c>
      <c r="F251" s="183" t="s">
        <v>615</v>
      </c>
      <c r="G251" s="183" t="s">
        <v>1332</v>
      </c>
      <c r="H251" s="184">
        <v>101221117040</v>
      </c>
      <c r="I251" s="185" t="s">
        <v>1333</v>
      </c>
      <c r="J251" s="146" t="s">
        <v>1334</v>
      </c>
      <c r="K251" s="247"/>
      <c r="L251" s="186">
        <v>44069</v>
      </c>
      <c r="M251" s="192">
        <f>'DB_1,0'!G188/5</f>
        <v>2400000</v>
      </c>
    </row>
    <row r="252" spans="1:13" hidden="1" x14ac:dyDescent="0.25">
      <c r="A252" s="191">
        <v>193</v>
      </c>
      <c r="B252" s="382" t="s">
        <v>1295</v>
      </c>
      <c r="C252" s="191"/>
      <c r="D252" s="191">
        <v>108</v>
      </c>
      <c r="E252" s="354" t="s">
        <v>309</v>
      </c>
      <c r="F252" s="183" t="s">
        <v>111</v>
      </c>
      <c r="G252" s="183" t="s">
        <v>1336</v>
      </c>
      <c r="H252" s="184">
        <v>101211192691</v>
      </c>
      <c r="I252" s="185" t="s">
        <v>1337</v>
      </c>
      <c r="J252" s="146" t="s">
        <v>1338</v>
      </c>
      <c r="K252" s="247"/>
      <c r="L252" s="186">
        <v>44070</v>
      </c>
      <c r="M252" s="192">
        <f>'DB_1,0'!G202/5</f>
        <v>4100000</v>
      </c>
    </row>
    <row r="253" spans="1:13" hidden="1" x14ac:dyDescent="0.25">
      <c r="A253" s="191">
        <v>164</v>
      </c>
      <c r="B253" s="383" t="s">
        <v>1266</v>
      </c>
      <c r="C253" s="191"/>
      <c r="D253" s="191">
        <v>109</v>
      </c>
      <c r="E253" s="201" t="s">
        <v>87</v>
      </c>
      <c r="F253" s="183" t="s">
        <v>384</v>
      </c>
      <c r="G253" s="183" t="s">
        <v>385</v>
      </c>
      <c r="H253" s="184">
        <v>101251171456</v>
      </c>
      <c r="I253" s="185" t="s">
        <v>614</v>
      </c>
      <c r="J253" s="146" t="s">
        <v>386</v>
      </c>
      <c r="K253" s="247"/>
      <c r="L253" s="186">
        <v>44070</v>
      </c>
      <c r="M253" s="192">
        <f>'DB_1,0'!G173/5</f>
        <v>2280000</v>
      </c>
    </row>
    <row r="254" spans="1:13" hidden="1" x14ac:dyDescent="0.25">
      <c r="A254" s="191">
        <v>199</v>
      </c>
      <c r="B254" s="382" t="s">
        <v>1301</v>
      </c>
      <c r="C254" s="191"/>
      <c r="D254" s="191">
        <v>110</v>
      </c>
      <c r="E254" s="190" t="s">
        <v>936</v>
      </c>
      <c r="F254" s="183" t="s">
        <v>92</v>
      </c>
      <c r="G254" s="183" t="s">
        <v>93</v>
      </c>
      <c r="H254" s="184">
        <v>110051004731</v>
      </c>
      <c r="I254" s="185" t="s">
        <v>94</v>
      </c>
      <c r="J254" s="193" t="s">
        <v>348</v>
      </c>
      <c r="K254" s="247"/>
      <c r="L254" s="186">
        <v>44070</v>
      </c>
      <c r="M254" s="192">
        <f>'DB_1,0'!G208/5</f>
        <v>7300000</v>
      </c>
    </row>
    <row r="255" spans="1:13" hidden="1" x14ac:dyDescent="0.25">
      <c r="A255" s="191">
        <v>167</v>
      </c>
      <c r="B255" s="382" t="s">
        <v>1269</v>
      </c>
      <c r="C255" s="191">
        <v>211</v>
      </c>
      <c r="D255" s="191"/>
      <c r="E255" s="201" t="s">
        <v>87</v>
      </c>
      <c r="F255" s="183" t="s">
        <v>1339</v>
      </c>
      <c r="G255" s="183" t="s">
        <v>1340</v>
      </c>
      <c r="H255" s="184">
        <v>101251188371</v>
      </c>
      <c r="I255" s="185" t="s">
        <v>1341</v>
      </c>
      <c r="J255" s="146" t="s">
        <v>1342</v>
      </c>
      <c r="K255" s="247"/>
      <c r="L255" s="186">
        <v>44070</v>
      </c>
      <c r="M255" s="192">
        <f>'DB_1,0'!G176/5</f>
        <v>2300000</v>
      </c>
    </row>
    <row r="256" spans="1:13" hidden="1" x14ac:dyDescent="0.25">
      <c r="A256" s="191">
        <v>191</v>
      </c>
      <c r="B256" s="382" t="s">
        <v>1293</v>
      </c>
      <c r="C256" s="191">
        <v>212</v>
      </c>
      <c r="D256" s="191"/>
      <c r="E256" s="354" t="s">
        <v>309</v>
      </c>
      <c r="F256" s="183" t="s">
        <v>1343</v>
      </c>
      <c r="G256" s="183" t="s">
        <v>1344</v>
      </c>
      <c r="H256" s="184">
        <v>115031002467</v>
      </c>
      <c r="I256" s="185" t="s">
        <v>1345</v>
      </c>
      <c r="J256" s="146"/>
      <c r="K256" s="247"/>
      <c r="L256" s="186">
        <v>44070</v>
      </c>
      <c r="M256" s="192">
        <f>'DB_1,0'!G200/5</f>
        <v>4200000</v>
      </c>
    </row>
    <row r="257" spans="1:13" hidden="1" x14ac:dyDescent="0.25">
      <c r="A257" s="191">
        <v>161</v>
      </c>
      <c r="B257" s="383" t="s">
        <v>1263</v>
      </c>
      <c r="C257" s="191">
        <v>213</v>
      </c>
      <c r="D257" s="191"/>
      <c r="E257" s="201" t="s">
        <v>87</v>
      </c>
      <c r="F257" s="183" t="s">
        <v>1346</v>
      </c>
      <c r="G257" s="183" t="s">
        <v>1347</v>
      </c>
      <c r="H257" s="184">
        <v>101251124230</v>
      </c>
      <c r="I257" s="185" t="s">
        <v>1348</v>
      </c>
      <c r="J257" s="146" t="s">
        <v>1349</v>
      </c>
      <c r="K257" s="247"/>
      <c r="L257" s="186">
        <v>44070</v>
      </c>
      <c r="M257" s="192">
        <f>'DB_1,0'!G170/5</f>
        <v>2450000</v>
      </c>
    </row>
    <row r="258" spans="1:13" hidden="1" x14ac:dyDescent="0.25">
      <c r="A258" s="191">
        <v>166</v>
      </c>
      <c r="B258" s="383" t="s">
        <v>1268</v>
      </c>
      <c r="C258" s="191"/>
      <c r="D258" s="191">
        <v>111</v>
      </c>
      <c r="E258" s="201" t="s">
        <v>87</v>
      </c>
      <c r="F258" s="183" t="s">
        <v>1350</v>
      </c>
      <c r="G258" s="183" t="s">
        <v>1351</v>
      </c>
      <c r="H258" s="184">
        <v>103031007169</v>
      </c>
      <c r="I258" s="185" t="s">
        <v>1352</v>
      </c>
      <c r="J258" s="146" t="s">
        <v>1353</v>
      </c>
      <c r="K258" s="247"/>
      <c r="L258" s="186">
        <v>44071</v>
      </c>
      <c r="M258" s="192">
        <f>'DB_1,0'!G175/5</f>
        <v>3000000</v>
      </c>
    </row>
    <row r="259" spans="1:13" hidden="1" x14ac:dyDescent="0.25">
      <c r="A259" s="191">
        <v>197</v>
      </c>
      <c r="B259" s="382" t="s">
        <v>1299</v>
      </c>
      <c r="C259" s="191">
        <v>214</v>
      </c>
      <c r="D259" s="191"/>
      <c r="E259" s="354" t="s">
        <v>435</v>
      </c>
      <c r="F259" s="183" t="s">
        <v>1149</v>
      </c>
      <c r="G259" s="183" t="s">
        <v>1354</v>
      </c>
      <c r="H259" s="184">
        <v>101231135111</v>
      </c>
      <c r="I259" s="185" t="s">
        <v>1355</v>
      </c>
      <c r="J259" s="146" t="s">
        <v>1356</v>
      </c>
      <c r="K259" s="247"/>
      <c r="L259" s="186">
        <v>44071</v>
      </c>
      <c r="M259" s="192">
        <f>'DB_1,0'!G206/5</f>
        <v>3460000</v>
      </c>
    </row>
    <row r="260" spans="1:13" hidden="1" x14ac:dyDescent="0.25">
      <c r="A260" s="191">
        <v>180</v>
      </c>
      <c r="B260" s="382" t="s">
        <v>1282</v>
      </c>
      <c r="C260" s="191">
        <v>217</v>
      </c>
      <c r="D260" s="191"/>
      <c r="E260" s="354" t="s">
        <v>435</v>
      </c>
      <c r="F260" s="183" t="s">
        <v>1357</v>
      </c>
      <c r="G260" s="183" t="s">
        <v>1358</v>
      </c>
      <c r="H260" s="184">
        <v>117011017952</v>
      </c>
      <c r="I260" s="185" t="s">
        <v>1359</v>
      </c>
      <c r="J260" s="146" t="s">
        <v>1360</v>
      </c>
      <c r="K260" s="247"/>
      <c r="L260" s="186">
        <v>44072</v>
      </c>
      <c r="M260" s="192">
        <f>'DB_1,0'!G189/5</f>
        <v>3300000</v>
      </c>
    </row>
    <row r="261" spans="1:13" hidden="1" x14ac:dyDescent="0.25">
      <c r="A261" s="191">
        <v>201</v>
      </c>
      <c r="B261" s="382" t="s">
        <v>1303</v>
      </c>
      <c r="C261" s="191"/>
      <c r="D261" s="191">
        <v>213</v>
      </c>
      <c r="E261" s="354" t="s">
        <v>936</v>
      </c>
      <c r="F261" s="183" t="s">
        <v>1126</v>
      </c>
      <c r="G261" s="183" t="s">
        <v>1361</v>
      </c>
      <c r="H261" s="184">
        <v>117071014316</v>
      </c>
      <c r="I261" s="185" t="s">
        <v>1362</v>
      </c>
      <c r="J261" s="146" t="s">
        <v>1363</v>
      </c>
      <c r="K261" s="247"/>
      <c r="L261" s="186">
        <v>44072</v>
      </c>
      <c r="M261" s="192">
        <f>'DB_1,0'!G210/5</f>
        <v>7200000</v>
      </c>
    </row>
    <row r="262" spans="1:13" hidden="1" x14ac:dyDescent="0.25">
      <c r="A262" s="191">
        <v>165</v>
      </c>
      <c r="B262" s="383" t="s">
        <v>1267</v>
      </c>
      <c r="C262" s="191"/>
      <c r="D262" s="191">
        <v>214</v>
      </c>
      <c r="E262" s="201" t="s">
        <v>87</v>
      </c>
      <c r="F262" s="183" t="s">
        <v>1364</v>
      </c>
      <c r="G262" s="183" t="s">
        <v>1365</v>
      </c>
      <c r="H262" s="184">
        <v>102071019283</v>
      </c>
      <c r="I262" s="185" t="s">
        <v>1366</v>
      </c>
      <c r="J262" s="146" t="s">
        <v>1367</v>
      </c>
      <c r="K262" s="247"/>
      <c r="L262" s="186">
        <v>44072</v>
      </c>
      <c r="M262" s="192">
        <f>'DB_1,0'!G174/5</f>
        <v>2300000</v>
      </c>
    </row>
    <row r="263" spans="1:13" hidden="1" x14ac:dyDescent="0.25">
      <c r="A263" s="191">
        <v>182</v>
      </c>
      <c r="B263" s="382" t="s">
        <v>1284</v>
      </c>
      <c r="C263" s="191">
        <v>218</v>
      </c>
      <c r="D263" s="191"/>
      <c r="E263" s="201" t="s">
        <v>87</v>
      </c>
      <c r="F263" s="183" t="s">
        <v>1368</v>
      </c>
      <c r="G263" s="183" t="s">
        <v>1369</v>
      </c>
      <c r="H263" s="184">
        <v>101231069835</v>
      </c>
      <c r="I263" s="185" t="s">
        <v>1370</v>
      </c>
      <c r="J263" s="146" t="s">
        <v>1371</v>
      </c>
      <c r="K263" s="247"/>
      <c r="L263" s="186">
        <v>44073</v>
      </c>
      <c r="M263" s="192">
        <f>'DB_1,0'!G191/5</f>
        <v>2750000</v>
      </c>
    </row>
    <row r="264" spans="1:13" hidden="1" x14ac:dyDescent="0.25">
      <c r="A264" s="191">
        <v>186</v>
      </c>
      <c r="B264" s="382" t="s">
        <v>1288</v>
      </c>
      <c r="C264" s="191"/>
      <c r="D264" s="191">
        <v>112</v>
      </c>
      <c r="E264" s="201" t="s">
        <v>87</v>
      </c>
      <c r="F264" s="183" t="s">
        <v>1104</v>
      </c>
      <c r="G264" s="360" t="s">
        <v>1372</v>
      </c>
      <c r="H264" s="184">
        <v>102011003477</v>
      </c>
      <c r="I264" s="185" t="s">
        <v>1373</v>
      </c>
      <c r="J264" s="146" t="s">
        <v>1374</v>
      </c>
      <c r="K264" s="247"/>
      <c r="L264" s="186">
        <v>44074</v>
      </c>
      <c r="M264" s="192">
        <f>'DB_1,0'!G195/5</f>
        <v>2400000</v>
      </c>
    </row>
    <row r="265" spans="1:13" hidden="1" x14ac:dyDescent="0.25">
      <c r="A265" s="191">
        <v>188</v>
      </c>
      <c r="B265" s="382" t="s">
        <v>1290</v>
      </c>
      <c r="C265" s="191"/>
      <c r="D265" s="191">
        <v>215</v>
      </c>
      <c r="E265" s="354" t="s">
        <v>435</v>
      </c>
      <c r="F265" s="183" t="s">
        <v>1375</v>
      </c>
      <c r="G265" s="183" t="s">
        <v>1376</v>
      </c>
      <c r="H265" s="184">
        <v>101231140154</v>
      </c>
      <c r="I265" s="185" t="s">
        <v>1377</v>
      </c>
      <c r="J265" s="146" t="s">
        <v>1378</v>
      </c>
      <c r="K265" s="247"/>
      <c r="L265" s="186">
        <v>44074</v>
      </c>
      <c r="M265" s="192">
        <f>'DB_1,0'!G197/5</f>
        <v>3150000</v>
      </c>
    </row>
    <row r="266" spans="1:13" hidden="1" x14ac:dyDescent="0.25">
      <c r="A266" s="191">
        <v>189</v>
      </c>
      <c r="B266" s="382" t="s">
        <v>1291</v>
      </c>
      <c r="C266" s="191"/>
      <c r="D266" s="191">
        <v>216</v>
      </c>
      <c r="E266" s="354" t="s">
        <v>435</v>
      </c>
      <c r="F266" s="183" t="s">
        <v>1375</v>
      </c>
      <c r="G266" s="183" t="s">
        <v>1376</v>
      </c>
      <c r="H266" s="184">
        <v>101231140154</v>
      </c>
      <c r="I266" s="185" t="s">
        <v>1377</v>
      </c>
      <c r="J266" s="146" t="s">
        <v>1378</v>
      </c>
      <c r="K266" s="247"/>
      <c r="L266" s="186">
        <v>44074</v>
      </c>
      <c r="M266" s="192">
        <f>'DB_1,0'!G198/5</f>
        <v>3150000</v>
      </c>
    </row>
    <row r="267" spans="1:13" hidden="1" x14ac:dyDescent="0.25">
      <c r="A267" s="191">
        <v>194</v>
      </c>
      <c r="B267" s="382" t="s">
        <v>1296</v>
      </c>
      <c r="C267" s="191"/>
      <c r="D267" s="191">
        <v>218</v>
      </c>
      <c r="E267" s="354" t="s">
        <v>435</v>
      </c>
      <c r="F267" s="183" t="s">
        <v>92</v>
      </c>
      <c r="G267" s="183" t="s">
        <v>93</v>
      </c>
      <c r="H267" s="184">
        <v>110051004731</v>
      </c>
      <c r="I267" s="185" t="s">
        <v>94</v>
      </c>
      <c r="J267" s="193" t="s">
        <v>348</v>
      </c>
      <c r="K267" s="247"/>
      <c r="L267" s="186">
        <v>44074</v>
      </c>
      <c r="M267" s="192">
        <f>'DB_1,0'!G203/5</f>
        <v>3280000</v>
      </c>
    </row>
    <row r="268" spans="1:13" hidden="1" x14ac:dyDescent="0.25">
      <c r="A268" s="344">
        <v>174</v>
      </c>
      <c r="B268" s="382" t="s">
        <v>1276</v>
      </c>
      <c r="C268" s="344">
        <v>221</v>
      </c>
      <c r="D268" s="344" t="s">
        <v>1381</v>
      </c>
      <c r="E268" s="201" t="s">
        <v>87</v>
      </c>
      <c r="F268" s="183" t="s">
        <v>1379</v>
      </c>
      <c r="G268" s="183" t="s">
        <v>1380</v>
      </c>
      <c r="H268" s="184">
        <v>101232135318</v>
      </c>
      <c r="I268" s="185"/>
      <c r="J268" s="146"/>
      <c r="K268" s="247" t="s">
        <v>1382</v>
      </c>
      <c r="L268" s="186">
        <v>44075</v>
      </c>
      <c r="M268" s="192">
        <v>2050000</v>
      </c>
    </row>
    <row r="269" spans="1:13" hidden="1" x14ac:dyDescent="0.25">
      <c r="A269" s="191">
        <v>178</v>
      </c>
      <c r="B269" s="382" t="s">
        <v>1280</v>
      </c>
      <c r="C269" s="191"/>
      <c r="D269" s="191">
        <v>116</v>
      </c>
      <c r="E269" s="201" t="s">
        <v>87</v>
      </c>
      <c r="F269" s="183" t="s">
        <v>864</v>
      </c>
      <c r="G269" s="360" t="s">
        <v>865</v>
      </c>
      <c r="H269" s="184">
        <v>101251118388</v>
      </c>
      <c r="I269" s="185" t="s">
        <v>866</v>
      </c>
      <c r="J269" s="146" t="s">
        <v>867</v>
      </c>
      <c r="K269" s="247"/>
      <c r="L269" s="186">
        <v>44075</v>
      </c>
      <c r="M269" s="192">
        <f>'DB_1,0'!G187/5</f>
        <v>2400000</v>
      </c>
    </row>
    <row r="270" spans="1:13" hidden="1" x14ac:dyDescent="0.25">
      <c r="A270" s="191">
        <v>176</v>
      </c>
      <c r="B270" s="382" t="s">
        <v>1278</v>
      </c>
      <c r="C270" s="191"/>
      <c r="D270" s="191">
        <v>117</v>
      </c>
      <c r="E270" s="201" t="s">
        <v>87</v>
      </c>
      <c r="F270" s="183" t="s">
        <v>864</v>
      </c>
      <c r="G270" s="360" t="s">
        <v>865</v>
      </c>
      <c r="H270" s="184">
        <v>101251118388</v>
      </c>
      <c r="I270" s="185" t="s">
        <v>866</v>
      </c>
      <c r="J270" s="146" t="s">
        <v>867</v>
      </c>
      <c r="K270" s="247"/>
      <c r="L270" s="186">
        <v>44075</v>
      </c>
      <c r="M270" s="192">
        <f>'DB_1,0'!G185/5</f>
        <v>2400000</v>
      </c>
    </row>
    <row r="271" spans="1:13" hidden="1" x14ac:dyDescent="0.25">
      <c r="A271" s="191">
        <v>173</v>
      </c>
      <c r="B271" s="344" t="s">
        <v>1275</v>
      </c>
      <c r="C271" s="191"/>
      <c r="D271" s="191">
        <v>118</v>
      </c>
      <c r="E271" s="201" t="s">
        <v>87</v>
      </c>
      <c r="F271" s="183" t="s">
        <v>1383</v>
      </c>
      <c r="G271" s="183" t="s">
        <v>1384</v>
      </c>
      <c r="H271" s="184">
        <v>101251135337</v>
      </c>
      <c r="I271" s="185" t="s">
        <v>1385</v>
      </c>
      <c r="J271" s="146" t="s">
        <v>1386</v>
      </c>
      <c r="K271" s="247"/>
      <c r="L271" s="186">
        <v>44077</v>
      </c>
      <c r="M271" s="192">
        <v>3000000</v>
      </c>
    </row>
    <row r="272" spans="1:13" hidden="1" x14ac:dyDescent="0.25">
      <c r="A272" s="191">
        <v>181</v>
      </c>
      <c r="B272" s="382" t="s">
        <v>1283</v>
      </c>
      <c r="C272" s="191">
        <v>222</v>
      </c>
      <c r="D272" s="191"/>
      <c r="E272" s="354" t="s">
        <v>435</v>
      </c>
      <c r="F272" s="183" t="s">
        <v>1387</v>
      </c>
      <c r="G272" s="183" t="s">
        <v>1388</v>
      </c>
      <c r="H272" s="184">
        <v>106501013825</v>
      </c>
      <c r="I272" s="185" t="s">
        <v>1389</v>
      </c>
      <c r="J272" s="146" t="s">
        <v>1390</v>
      </c>
      <c r="K272" s="247"/>
      <c r="L272" s="186">
        <v>44077</v>
      </c>
      <c r="M272" s="192">
        <v>3100000</v>
      </c>
    </row>
    <row r="273" spans="1:13" hidden="1" x14ac:dyDescent="0.25">
      <c r="A273" s="191">
        <v>190</v>
      </c>
      <c r="B273" s="344" t="s">
        <v>1292</v>
      </c>
      <c r="C273" s="191"/>
      <c r="D273" s="191">
        <v>113</v>
      </c>
      <c r="E273" s="201" t="s">
        <v>87</v>
      </c>
      <c r="F273" s="183" t="s">
        <v>1397</v>
      </c>
      <c r="G273" s="183" t="s">
        <v>1398</v>
      </c>
      <c r="H273" s="184">
        <v>101231081680</v>
      </c>
      <c r="I273" s="185" t="s">
        <v>1399</v>
      </c>
      <c r="J273" s="146" t="s">
        <v>1400</v>
      </c>
      <c r="K273" s="247"/>
      <c r="L273" s="186">
        <v>44078</v>
      </c>
      <c r="M273" s="192">
        <f>14750000/5</f>
        <v>2950000</v>
      </c>
    </row>
    <row r="274" spans="1:13" hidden="1" x14ac:dyDescent="0.25">
      <c r="A274" s="191">
        <v>171</v>
      </c>
      <c r="B274" s="382" t="s">
        <v>1273</v>
      </c>
      <c r="C274" s="191">
        <v>224</v>
      </c>
      <c r="D274" s="191"/>
      <c r="E274" s="201" t="s">
        <v>87</v>
      </c>
      <c r="F274" s="183" t="s">
        <v>1402</v>
      </c>
      <c r="G274" s="183" t="s">
        <v>1403</v>
      </c>
      <c r="H274" s="184">
        <v>313011018260</v>
      </c>
      <c r="I274" s="185" t="s">
        <v>1404</v>
      </c>
      <c r="J274" s="146" t="s">
        <v>857</v>
      </c>
      <c r="K274" s="247"/>
      <c r="L274" s="186">
        <v>44078</v>
      </c>
      <c r="M274" s="192">
        <f>'DB_1,0'!G180/5</f>
        <v>2250000</v>
      </c>
    </row>
    <row r="275" spans="1:13" hidden="1" x14ac:dyDescent="0.25">
      <c r="A275" s="191">
        <v>184</v>
      </c>
      <c r="B275" s="382" t="s">
        <v>1286</v>
      </c>
      <c r="C275" s="191"/>
      <c r="D275" s="191">
        <v>120</v>
      </c>
      <c r="E275" s="354" t="s">
        <v>936</v>
      </c>
      <c r="F275" s="183" t="s">
        <v>92</v>
      </c>
      <c r="G275" s="183" t="s">
        <v>93</v>
      </c>
      <c r="H275" s="184">
        <v>110051004731</v>
      </c>
      <c r="I275" s="185" t="s">
        <v>94</v>
      </c>
      <c r="J275" s="193" t="s">
        <v>348</v>
      </c>
      <c r="K275" s="247"/>
      <c r="L275" s="186">
        <v>44079</v>
      </c>
      <c r="M275" s="192">
        <f>'DB_1,0'!G193/5</f>
        <v>7250000</v>
      </c>
    </row>
    <row r="276" spans="1:13" hidden="1" x14ac:dyDescent="0.25">
      <c r="A276" s="191">
        <v>168</v>
      </c>
      <c r="B276" s="382" t="s">
        <v>1270</v>
      </c>
      <c r="C276" s="191">
        <v>225</v>
      </c>
      <c r="D276" s="191"/>
      <c r="E276" s="201" t="s">
        <v>87</v>
      </c>
      <c r="F276" s="183" t="s">
        <v>1405</v>
      </c>
      <c r="G276" s="183" t="s">
        <v>1406</v>
      </c>
      <c r="H276" s="184">
        <v>106441012770</v>
      </c>
      <c r="I276" s="185" t="s">
        <v>1407</v>
      </c>
      <c r="J276" s="146" t="s">
        <v>1408</v>
      </c>
      <c r="K276" s="247"/>
      <c r="L276" s="186">
        <v>44079</v>
      </c>
      <c r="M276" s="192">
        <f>'DB_1,0'!G177/5</f>
        <v>2350000</v>
      </c>
    </row>
    <row r="277" spans="1:13" ht="30" hidden="1" x14ac:dyDescent="0.25">
      <c r="A277" s="191">
        <v>169</v>
      </c>
      <c r="B277" s="382" t="s">
        <v>1271</v>
      </c>
      <c r="C277" s="191">
        <v>226</v>
      </c>
      <c r="D277" s="191" t="s">
        <v>1413</v>
      </c>
      <c r="E277" s="201" t="s">
        <v>87</v>
      </c>
      <c r="F277" s="183" t="s">
        <v>1409</v>
      </c>
      <c r="G277" s="183" t="s">
        <v>1410</v>
      </c>
      <c r="H277" s="184">
        <v>102091030509</v>
      </c>
      <c r="I277" s="185" t="s">
        <v>1411</v>
      </c>
      <c r="J277" s="146"/>
      <c r="K277" s="247" t="s">
        <v>1412</v>
      </c>
      <c r="L277" s="186">
        <v>44080</v>
      </c>
      <c r="M277" s="192">
        <f>'DB_1,0'!G178/5</f>
        <v>2250000</v>
      </c>
    </row>
    <row r="278" spans="1:13" hidden="1" x14ac:dyDescent="0.25">
      <c r="A278" s="191"/>
      <c r="B278" s="344" t="s">
        <v>1418</v>
      </c>
      <c r="C278" s="191">
        <v>227</v>
      </c>
      <c r="D278" s="191"/>
      <c r="E278" s="190" t="s">
        <v>732</v>
      </c>
      <c r="F278" s="183" t="s">
        <v>1414</v>
      </c>
      <c r="G278" s="183" t="s">
        <v>1415</v>
      </c>
      <c r="H278" s="184">
        <v>101231175365</v>
      </c>
      <c r="I278" s="185" t="s">
        <v>1416</v>
      </c>
      <c r="J278" s="146" t="s">
        <v>1417</v>
      </c>
      <c r="K278" s="247"/>
      <c r="L278" s="186">
        <v>44081</v>
      </c>
      <c r="M278" s="192">
        <v>2800000</v>
      </c>
    </row>
    <row r="279" spans="1:13" ht="30" hidden="1" x14ac:dyDescent="0.25">
      <c r="A279" s="344">
        <v>194</v>
      </c>
      <c r="B279" s="382" t="s">
        <v>1296</v>
      </c>
      <c r="C279" s="344">
        <v>228</v>
      </c>
      <c r="D279" s="344" t="s">
        <v>1423</v>
      </c>
      <c r="E279" s="354" t="s">
        <v>435</v>
      </c>
      <c r="F279" s="183" t="s">
        <v>1419</v>
      </c>
      <c r="G279" s="183" t="s">
        <v>1420</v>
      </c>
      <c r="H279" s="184">
        <v>117071015860</v>
      </c>
      <c r="I279" s="185" t="s">
        <v>1421</v>
      </c>
      <c r="J279" s="146" t="s">
        <v>1422</v>
      </c>
      <c r="K279" s="247" t="s">
        <v>955</v>
      </c>
      <c r="L279" s="186">
        <v>44081</v>
      </c>
      <c r="M279" s="192">
        <f>'DB_1,0'!G203/5</f>
        <v>3280000</v>
      </c>
    </row>
    <row r="280" spans="1:13" ht="30" hidden="1" x14ac:dyDescent="0.25">
      <c r="A280" s="344">
        <v>164</v>
      </c>
      <c r="B280" s="383" t="s">
        <v>1266</v>
      </c>
      <c r="C280" s="344">
        <v>229</v>
      </c>
      <c r="D280" s="344" t="s">
        <v>1424</v>
      </c>
      <c r="E280" s="201" t="s">
        <v>87</v>
      </c>
      <c r="F280" s="183" t="s">
        <v>1426</v>
      </c>
      <c r="G280" s="183" t="s">
        <v>1427</v>
      </c>
      <c r="H280" s="184">
        <v>101221123407</v>
      </c>
      <c r="I280" s="185" t="s">
        <v>1428</v>
      </c>
      <c r="J280" s="146"/>
      <c r="K280" s="247" t="s">
        <v>1425</v>
      </c>
      <c r="L280" s="186">
        <v>44081</v>
      </c>
      <c r="M280" s="192">
        <f>'DB_1,0'!G173/5</f>
        <v>2280000</v>
      </c>
    </row>
    <row r="281" spans="1:13" hidden="1" x14ac:dyDescent="0.25">
      <c r="A281" s="191"/>
      <c r="B281" s="344" t="s">
        <v>1434</v>
      </c>
      <c r="C281" s="191">
        <v>230</v>
      </c>
      <c r="D281" s="191"/>
      <c r="E281" s="190" t="s">
        <v>1433</v>
      </c>
      <c r="F281" s="183" t="s">
        <v>1429</v>
      </c>
      <c r="G281" s="183" t="s">
        <v>1430</v>
      </c>
      <c r="H281" s="184">
        <v>101231094535</v>
      </c>
      <c r="I281" s="185" t="s">
        <v>1431</v>
      </c>
      <c r="J281" s="146" t="s">
        <v>1432</v>
      </c>
      <c r="K281" s="247"/>
      <c r="L281" s="186">
        <v>44082</v>
      </c>
      <c r="M281" s="192">
        <v>1700000</v>
      </c>
    </row>
    <row r="282" spans="1:13" ht="30" hidden="1" x14ac:dyDescent="0.25">
      <c r="A282" s="344">
        <v>132</v>
      </c>
      <c r="B282" s="158" t="s">
        <v>817</v>
      </c>
      <c r="C282" s="344">
        <v>231</v>
      </c>
      <c r="D282" s="344" t="s">
        <v>1440</v>
      </c>
      <c r="E282" s="201" t="s">
        <v>999</v>
      </c>
      <c r="F282" s="183" t="s">
        <v>1436</v>
      </c>
      <c r="G282" s="183" t="s">
        <v>1437</v>
      </c>
      <c r="H282" s="184">
        <v>101251120490</v>
      </c>
      <c r="I282" s="185" t="s">
        <v>1438</v>
      </c>
      <c r="J282" s="146" t="s">
        <v>1439</v>
      </c>
      <c r="K282" s="247" t="s">
        <v>1441</v>
      </c>
      <c r="L282" s="186">
        <v>44084</v>
      </c>
      <c r="M282" s="192">
        <v>2400000</v>
      </c>
    </row>
    <row r="283" spans="1:13" hidden="1" x14ac:dyDescent="0.25">
      <c r="A283" s="191">
        <v>46</v>
      </c>
      <c r="B283" s="158" t="s">
        <v>313</v>
      </c>
      <c r="C283" s="191">
        <v>232</v>
      </c>
      <c r="D283" s="191"/>
      <c r="E283" s="78" t="s">
        <v>305</v>
      </c>
      <c r="F283" s="183" t="s">
        <v>1442</v>
      </c>
      <c r="G283" s="183" t="s">
        <v>1443</v>
      </c>
      <c r="H283" s="184"/>
      <c r="I283" s="185" t="s">
        <v>1444</v>
      </c>
      <c r="J283" s="146" t="s">
        <v>1445</v>
      </c>
      <c r="K283" s="247"/>
      <c r="L283" s="186">
        <v>44084</v>
      </c>
      <c r="M283" s="192">
        <f>'DB_1,0'!G55/5</f>
        <v>3470000</v>
      </c>
    </row>
    <row r="284" spans="1:13" ht="30" hidden="1" x14ac:dyDescent="0.25">
      <c r="A284" s="344">
        <v>178</v>
      </c>
      <c r="B284" s="382" t="s">
        <v>1280</v>
      </c>
      <c r="C284" s="344">
        <v>233</v>
      </c>
      <c r="D284" s="344" t="s">
        <v>1449</v>
      </c>
      <c r="E284" s="201" t="s">
        <v>87</v>
      </c>
      <c r="F284" s="183" t="s">
        <v>1446</v>
      </c>
      <c r="G284" s="183" t="s">
        <v>495</v>
      </c>
      <c r="H284" s="184">
        <v>101251119800</v>
      </c>
      <c r="I284" s="185" t="s">
        <v>1447</v>
      </c>
      <c r="J284" s="146" t="s">
        <v>1448</v>
      </c>
      <c r="K284" s="247" t="s">
        <v>1450</v>
      </c>
      <c r="L284" s="186">
        <v>44085</v>
      </c>
      <c r="M284" s="192">
        <v>2400000</v>
      </c>
    </row>
    <row r="285" spans="1:13" hidden="1" x14ac:dyDescent="0.25">
      <c r="A285" s="191">
        <v>162</v>
      </c>
      <c r="B285" s="383" t="s">
        <v>1264</v>
      </c>
      <c r="C285" s="191">
        <v>234</v>
      </c>
      <c r="D285" s="191"/>
      <c r="E285" s="78" t="s">
        <v>87</v>
      </c>
      <c r="F285" s="183" t="s">
        <v>1451</v>
      </c>
      <c r="G285" s="183" t="s">
        <v>1452</v>
      </c>
      <c r="H285" s="184">
        <v>102071018588</v>
      </c>
      <c r="I285" s="185" t="s">
        <v>1453</v>
      </c>
      <c r="J285" s="146" t="s">
        <v>1454</v>
      </c>
      <c r="K285" s="247"/>
      <c r="L285" s="186">
        <v>44085</v>
      </c>
      <c r="M285" s="192">
        <f>'DB_1,0'!G171/5</f>
        <v>2400000</v>
      </c>
    </row>
    <row r="286" spans="1:13" hidden="1" x14ac:dyDescent="0.25">
      <c r="A286" s="191">
        <v>183</v>
      </c>
      <c r="B286" s="382" t="s">
        <v>1285</v>
      </c>
      <c r="C286" s="191">
        <v>235</v>
      </c>
      <c r="D286" s="191"/>
      <c r="E286" s="326" t="s">
        <v>435</v>
      </c>
      <c r="F286" s="183" t="s">
        <v>1455</v>
      </c>
      <c r="G286" s="183" t="s">
        <v>1456</v>
      </c>
      <c r="H286" s="184">
        <v>106291000347</v>
      </c>
      <c r="I286" s="185" t="s">
        <v>1457</v>
      </c>
      <c r="J286" s="146" t="s">
        <v>1458</v>
      </c>
      <c r="K286" s="247"/>
      <c r="L286" s="186">
        <v>44086</v>
      </c>
      <c r="M286" s="192">
        <f>'DB_1,0'!G192/5</f>
        <v>3250000</v>
      </c>
    </row>
    <row r="287" spans="1:13" ht="30" hidden="1" x14ac:dyDescent="0.25">
      <c r="A287" s="344">
        <v>163</v>
      </c>
      <c r="B287" s="383" t="s">
        <v>1265</v>
      </c>
      <c r="C287" s="344">
        <v>236</v>
      </c>
      <c r="D287" s="344" t="s">
        <v>1464</v>
      </c>
      <c r="E287" s="201" t="s">
        <v>87</v>
      </c>
      <c r="F287" s="183" t="s">
        <v>1459</v>
      </c>
      <c r="G287" s="183" t="s">
        <v>1460</v>
      </c>
      <c r="H287" s="184">
        <v>101982072171</v>
      </c>
      <c r="I287" s="185" t="s">
        <v>1461</v>
      </c>
      <c r="J287" s="146" t="s">
        <v>1462</v>
      </c>
      <c r="K287" s="247" t="s">
        <v>1463</v>
      </c>
      <c r="L287" s="186">
        <v>44088</v>
      </c>
      <c r="M287" s="192">
        <v>2730000</v>
      </c>
    </row>
    <row r="288" spans="1:13" hidden="1" x14ac:dyDescent="0.25">
      <c r="A288" s="191"/>
      <c r="B288" s="344" t="s">
        <v>1469</v>
      </c>
      <c r="C288" s="191">
        <v>237</v>
      </c>
      <c r="D288" s="191"/>
      <c r="E288" s="190" t="s">
        <v>1109</v>
      </c>
      <c r="F288" s="183" t="s">
        <v>1465</v>
      </c>
      <c r="G288" s="183" t="s">
        <v>1466</v>
      </c>
      <c r="H288" s="184">
        <v>301011014763</v>
      </c>
      <c r="I288" s="185" t="s">
        <v>1467</v>
      </c>
      <c r="J288" s="146" t="s">
        <v>1468</v>
      </c>
      <c r="K288" s="247"/>
      <c r="L288" s="186">
        <v>44088</v>
      </c>
      <c r="M288" s="192"/>
    </row>
    <row r="289" spans="1:13" hidden="1" x14ac:dyDescent="0.25">
      <c r="A289" s="344"/>
      <c r="B289" s="344" t="s">
        <v>1478</v>
      </c>
      <c r="C289" s="344">
        <v>238</v>
      </c>
      <c r="D289" s="344"/>
      <c r="E289" s="190" t="s">
        <v>224</v>
      </c>
      <c r="F289" s="183" t="s">
        <v>1474</v>
      </c>
      <c r="G289" s="183" t="s">
        <v>1475</v>
      </c>
      <c r="H289" s="184">
        <v>101231158385</v>
      </c>
      <c r="I289" s="185" t="s">
        <v>1476</v>
      </c>
      <c r="J289" s="146" t="s">
        <v>1477</v>
      </c>
      <c r="K289" s="247"/>
      <c r="L289" s="186">
        <v>44091</v>
      </c>
      <c r="M289" s="192">
        <v>2400000</v>
      </c>
    </row>
    <row r="290" spans="1:13" hidden="1" x14ac:dyDescent="0.25">
      <c r="A290" s="344"/>
      <c r="B290" s="344" t="s">
        <v>1484</v>
      </c>
      <c r="C290" s="344">
        <v>239</v>
      </c>
      <c r="D290" s="344"/>
      <c r="E290" s="190" t="s">
        <v>1483</v>
      </c>
      <c r="F290" s="183" t="s">
        <v>1479</v>
      </c>
      <c r="G290" s="183" t="s">
        <v>1480</v>
      </c>
      <c r="H290" s="184">
        <v>101251092112</v>
      </c>
      <c r="I290" s="185" t="s">
        <v>1481</v>
      </c>
      <c r="J290" s="146" t="s">
        <v>1482</v>
      </c>
      <c r="K290" s="247"/>
      <c r="L290" s="186">
        <v>44091</v>
      </c>
      <c r="M290" s="192">
        <v>1600000</v>
      </c>
    </row>
    <row r="291" spans="1:13" x14ac:dyDescent="0.25">
      <c r="A291" s="344"/>
      <c r="B291" s="344" t="s">
        <v>1488</v>
      </c>
      <c r="C291" s="344">
        <v>240</v>
      </c>
      <c r="D291" s="344"/>
      <c r="E291" s="190" t="s">
        <v>1034</v>
      </c>
      <c r="F291" s="183" t="s">
        <v>1455</v>
      </c>
      <c r="G291" s="183" t="s">
        <v>1485</v>
      </c>
      <c r="H291" s="184">
        <v>102071016980</v>
      </c>
      <c r="I291" s="185" t="s">
        <v>1486</v>
      </c>
      <c r="J291" s="146" t="s">
        <v>1487</v>
      </c>
      <c r="K291" s="247"/>
      <c r="L291" s="186">
        <v>44091</v>
      </c>
      <c r="M291" s="192">
        <v>1200000</v>
      </c>
    </row>
    <row r="292" spans="1:13" hidden="1" x14ac:dyDescent="0.25">
      <c r="A292" s="344">
        <v>156</v>
      </c>
      <c r="B292" s="383" t="s">
        <v>1090</v>
      </c>
      <c r="C292" s="344">
        <v>241</v>
      </c>
      <c r="D292" s="344"/>
      <c r="E292" s="78" t="s">
        <v>309</v>
      </c>
      <c r="F292" s="183" t="s">
        <v>1489</v>
      </c>
      <c r="G292" s="183" t="s">
        <v>1490</v>
      </c>
      <c r="H292" s="184">
        <v>117091001249</v>
      </c>
      <c r="I292" s="185" t="s">
        <v>1491</v>
      </c>
      <c r="J292" s="146" t="s">
        <v>1492</v>
      </c>
      <c r="K292" s="247"/>
      <c r="L292" s="186">
        <v>44091</v>
      </c>
      <c r="M292" s="192">
        <f>'DB_1,0'!G165/5</f>
        <v>4200000</v>
      </c>
    </row>
    <row r="293" spans="1:13" hidden="1" x14ac:dyDescent="0.25">
      <c r="A293" s="344">
        <v>99</v>
      </c>
      <c r="B293" s="158" t="s">
        <v>769</v>
      </c>
      <c r="C293" s="344">
        <v>242</v>
      </c>
      <c r="D293" s="344"/>
      <c r="E293" s="78" t="s">
        <v>309</v>
      </c>
      <c r="F293" s="183" t="s">
        <v>422</v>
      </c>
      <c r="G293" s="183" t="s">
        <v>900</v>
      </c>
      <c r="H293" s="184">
        <v>216011018011</v>
      </c>
      <c r="I293" s="185" t="s">
        <v>424</v>
      </c>
      <c r="J293" s="146" t="s">
        <v>425</v>
      </c>
      <c r="K293" s="247"/>
      <c r="L293" s="186">
        <v>44027</v>
      </c>
      <c r="M293" s="192">
        <f>'DB_1,0'!G108/5</f>
        <v>4400000</v>
      </c>
    </row>
    <row r="294" spans="1:13" hidden="1" x14ac:dyDescent="0.25">
      <c r="A294" s="344">
        <v>175</v>
      </c>
      <c r="B294" s="382" t="s">
        <v>1277</v>
      </c>
      <c r="C294" s="344"/>
      <c r="D294" s="344">
        <v>124</v>
      </c>
      <c r="E294" s="78" t="s">
        <v>87</v>
      </c>
      <c r="F294" s="183" t="s">
        <v>623</v>
      </c>
      <c r="G294" s="183" t="s">
        <v>624</v>
      </c>
      <c r="H294" s="184" t="s">
        <v>786</v>
      </c>
      <c r="I294" s="185" t="s">
        <v>625</v>
      </c>
      <c r="J294" s="146" t="s">
        <v>1580</v>
      </c>
      <c r="K294" s="247"/>
      <c r="L294" s="186">
        <v>44092</v>
      </c>
      <c r="M294" s="192">
        <f>'DB_1,0'!G184/5</f>
        <v>2390000</v>
      </c>
    </row>
    <row r="295" spans="1:13" hidden="1" x14ac:dyDescent="0.25">
      <c r="A295" s="344">
        <v>175</v>
      </c>
      <c r="B295" s="382" t="s">
        <v>1277</v>
      </c>
      <c r="C295" s="344">
        <v>243</v>
      </c>
      <c r="D295" s="344" t="s">
        <v>1494</v>
      </c>
      <c r="E295" s="78" t="s">
        <v>87</v>
      </c>
      <c r="F295" s="368"/>
      <c r="G295" s="368"/>
      <c r="H295" s="369"/>
      <c r="I295" s="370"/>
      <c r="J295" s="371"/>
      <c r="K295" s="247" t="s">
        <v>1503</v>
      </c>
      <c r="L295" s="186"/>
      <c r="M295" s="192">
        <f>'DB_1,0'!G185/5</f>
        <v>2400000</v>
      </c>
    </row>
    <row r="296" spans="1:13" hidden="1" x14ac:dyDescent="0.25">
      <c r="A296" s="344">
        <v>187</v>
      </c>
      <c r="B296" s="382" t="s">
        <v>1289</v>
      </c>
      <c r="C296" s="344">
        <v>244</v>
      </c>
      <c r="D296" s="344"/>
      <c r="E296" s="326" t="s">
        <v>435</v>
      </c>
      <c r="F296" s="183" t="s">
        <v>1495</v>
      </c>
      <c r="G296" s="168" t="s">
        <v>1496</v>
      </c>
      <c r="H296" s="184">
        <v>101251115163</v>
      </c>
      <c r="I296" s="185" t="s">
        <v>1497</v>
      </c>
      <c r="J296" s="146" t="s">
        <v>1498</v>
      </c>
      <c r="K296" s="247"/>
      <c r="L296" s="186">
        <v>44093</v>
      </c>
      <c r="M296" s="192">
        <f>'DB_1,0'!G196/5</f>
        <v>3250000</v>
      </c>
    </row>
    <row r="297" spans="1:13" hidden="1" x14ac:dyDescent="0.25">
      <c r="A297" s="344">
        <v>49</v>
      </c>
      <c r="B297" s="158" t="s">
        <v>316</v>
      </c>
      <c r="C297" s="146">
        <v>245</v>
      </c>
      <c r="D297" s="344" t="s">
        <v>1502</v>
      </c>
      <c r="E297" s="201" t="s">
        <v>305</v>
      </c>
      <c r="F297" s="183" t="s">
        <v>1499</v>
      </c>
      <c r="G297" s="183" t="s">
        <v>1500</v>
      </c>
      <c r="H297" s="184">
        <v>101241162991</v>
      </c>
      <c r="I297" s="185" t="s">
        <v>1501</v>
      </c>
      <c r="J297" s="146"/>
      <c r="K297" s="247" t="s">
        <v>704</v>
      </c>
      <c r="L297" s="186">
        <v>44097</v>
      </c>
      <c r="M297" s="192">
        <f>18000000/5</f>
        <v>3600000</v>
      </c>
    </row>
    <row r="298" spans="1:13" hidden="1" x14ac:dyDescent="0.25">
      <c r="A298" s="344">
        <v>80</v>
      </c>
      <c r="B298" s="344" t="s">
        <v>455</v>
      </c>
      <c r="C298" s="146">
        <v>246</v>
      </c>
      <c r="D298" s="344" t="s">
        <v>1507</v>
      </c>
      <c r="E298" s="196" t="s">
        <v>435</v>
      </c>
      <c r="F298" s="183" t="s">
        <v>1504</v>
      </c>
      <c r="G298" s="183" t="s">
        <v>1505</v>
      </c>
      <c r="H298" s="184">
        <v>117331003291</v>
      </c>
      <c r="I298" s="185" t="s">
        <v>1506</v>
      </c>
      <c r="J298" s="146"/>
      <c r="K298" s="247" t="s">
        <v>704</v>
      </c>
      <c r="L298" s="186">
        <v>44097</v>
      </c>
      <c r="M298" s="192">
        <f>17000000/5</f>
        <v>3400000</v>
      </c>
    </row>
    <row r="299" spans="1:13" hidden="1" x14ac:dyDescent="0.25">
      <c r="A299" s="344">
        <v>190</v>
      </c>
      <c r="B299" s="344" t="s">
        <v>1292</v>
      </c>
      <c r="C299" s="344">
        <v>247</v>
      </c>
      <c r="D299" s="344">
        <v>113</v>
      </c>
      <c r="E299" s="201" t="s">
        <v>87</v>
      </c>
      <c r="F299" s="183" t="s">
        <v>1397</v>
      </c>
      <c r="G299" s="183" t="s">
        <v>1508</v>
      </c>
      <c r="H299" s="184">
        <v>101221128031</v>
      </c>
      <c r="I299" s="185" t="s">
        <v>1399</v>
      </c>
      <c r="J299" s="146" t="s">
        <v>1509</v>
      </c>
      <c r="K299" s="247" t="s">
        <v>1510</v>
      </c>
      <c r="L299" s="186">
        <v>44099</v>
      </c>
      <c r="M299" s="192">
        <f>14750000/5</f>
        <v>2950000</v>
      </c>
    </row>
    <row r="300" spans="1:13" hidden="1" x14ac:dyDescent="0.25">
      <c r="A300" s="344">
        <v>76</v>
      </c>
      <c r="B300" s="344" t="s">
        <v>447</v>
      </c>
      <c r="C300" s="146">
        <v>248</v>
      </c>
      <c r="D300" s="344"/>
      <c r="E300" s="196" t="s">
        <v>435</v>
      </c>
      <c r="F300" s="183" t="s">
        <v>1511</v>
      </c>
      <c r="G300" s="183" t="s">
        <v>1512</v>
      </c>
      <c r="H300" s="184"/>
      <c r="I300" s="185" t="s">
        <v>1513</v>
      </c>
      <c r="J300" s="146" t="s">
        <v>1514</v>
      </c>
      <c r="K300" s="247"/>
      <c r="L300" s="186">
        <v>44099</v>
      </c>
      <c r="M300" s="192">
        <f>17500000/5</f>
        <v>3500000</v>
      </c>
    </row>
    <row r="301" spans="1:13" hidden="1" x14ac:dyDescent="0.25">
      <c r="A301" s="344">
        <v>126</v>
      </c>
      <c r="B301" s="158" t="s">
        <v>811</v>
      </c>
      <c r="C301" s="344">
        <v>249</v>
      </c>
      <c r="D301" s="344"/>
      <c r="E301" s="201" t="s">
        <v>998</v>
      </c>
      <c r="F301" s="183" t="s">
        <v>1515</v>
      </c>
      <c r="G301" s="183" t="s">
        <v>1516</v>
      </c>
      <c r="H301" s="184">
        <v>101221083285</v>
      </c>
      <c r="I301" s="185" t="s">
        <v>1517</v>
      </c>
      <c r="J301" s="146" t="s">
        <v>1518</v>
      </c>
      <c r="K301" s="247"/>
      <c r="L301" s="186">
        <v>44102</v>
      </c>
      <c r="M301" s="192">
        <v>2100000</v>
      </c>
    </row>
    <row r="302" spans="1:13" hidden="1" x14ac:dyDescent="0.25">
      <c r="A302" s="344"/>
      <c r="B302" s="344" t="s">
        <v>1523</v>
      </c>
      <c r="C302" s="344">
        <v>250</v>
      </c>
      <c r="D302" s="344"/>
      <c r="E302" s="190" t="s">
        <v>224</v>
      </c>
      <c r="F302" s="183" t="s">
        <v>1519</v>
      </c>
      <c r="G302" s="183" t="s">
        <v>1520</v>
      </c>
      <c r="H302" s="184">
        <v>101231126480</v>
      </c>
      <c r="I302" s="185" t="s">
        <v>1521</v>
      </c>
      <c r="J302" s="146" t="s">
        <v>1522</v>
      </c>
      <c r="K302" s="247"/>
      <c r="L302" s="186">
        <v>44104</v>
      </c>
      <c r="M302" s="192"/>
    </row>
    <row r="303" spans="1:13" hidden="1" x14ac:dyDescent="0.25">
      <c r="A303" s="344"/>
      <c r="B303" s="344" t="s">
        <v>1278</v>
      </c>
      <c r="C303" s="344">
        <v>251</v>
      </c>
      <c r="D303" s="344"/>
      <c r="E303" s="201" t="s">
        <v>87</v>
      </c>
      <c r="F303" s="368"/>
      <c r="G303" s="368"/>
      <c r="H303" s="369"/>
      <c r="I303" s="370"/>
      <c r="J303" s="371"/>
      <c r="K303" s="247" t="s">
        <v>1503</v>
      </c>
      <c r="L303" s="186">
        <v>44104</v>
      </c>
      <c r="M303" s="192"/>
    </row>
    <row r="304" spans="1:13" hidden="1" x14ac:dyDescent="0.25">
      <c r="A304" s="344">
        <v>57</v>
      </c>
      <c r="B304" s="344" t="s">
        <v>370</v>
      </c>
      <c r="C304" s="344">
        <v>252</v>
      </c>
      <c r="D304" s="344" t="s">
        <v>1526</v>
      </c>
      <c r="E304" s="201" t="s">
        <v>87</v>
      </c>
      <c r="F304" s="368"/>
      <c r="G304" s="368"/>
      <c r="H304" s="369"/>
      <c r="I304" s="370"/>
      <c r="J304" s="371"/>
      <c r="K304" s="247" t="s">
        <v>1503</v>
      </c>
      <c r="L304" s="186">
        <v>44110</v>
      </c>
      <c r="M304" s="192"/>
    </row>
    <row r="305" spans="1:13" hidden="1" x14ac:dyDescent="0.25">
      <c r="A305" s="344">
        <v>160</v>
      </c>
      <c r="B305" s="344" t="s">
        <v>1262</v>
      </c>
      <c r="C305" s="344">
        <v>253</v>
      </c>
      <c r="D305" s="344"/>
      <c r="E305" s="190" t="s">
        <v>87</v>
      </c>
      <c r="F305" s="183" t="s">
        <v>1527</v>
      </c>
      <c r="G305" s="183" t="s">
        <v>1528</v>
      </c>
      <c r="H305" s="184">
        <v>101231109152</v>
      </c>
      <c r="I305" s="185" t="s">
        <v>1529</v>
      </c>
      <c r="J305" s="146" t="s">
        <v>1530</v>
      </c>
      <c r="K305" s="247"/>
      <c r="L305" s="186">
        <v>44112</v>
      </c>
      <c r="M305" s="192">
        <v>2300000</v>
      </c>
    </row>
    <row r="306" spans="1:13" hidden="1" x14ac:dyDescent="0.25">
      <c r="A306" s="344"/>
      <c r="B306" s="344" t="s">
        <v>1531</v>
      </c>
      <c r="C306" s="384">
        <v>254</v>
      </c>
      <c r="D306" s="344"/>
      <c r="E306" s="190" t="s">
        <v>224</v>
      </c>
      <c r="F306" s="183" t="s">
        <v>623</v>
      </c>
      <c r="G306" s="183" t="s">
        <v>624</v>
      </c>
      <c r="H306" s="184">
        <v>101251194702</v>
      </c>
      <c r="I306" s="185" t="s">
        <v>625</v>
      </c>
      <c r="J306" s="146" t="s">
        <v>956</v>
      </c>
      <c r="K306" s="247"/>
      <c r="L306" s="186">
        <v>44112</v>
      </c>
      <c r="M306" s="192"/>
    </row>
    <row r="307" spans="1:13" hidden="1" x14ac:dyDescent="0.25">
      <c r="A307" s="344">
        <v>156</v>
      </c>
      <c r="B307" s="344" t="s">
        <v>1090</v>
      </c>
      <c r="C307" s="344">
        <v>255</v>
      </c>
      <c r="D307" s="344" t="s">
        <v>1537</v>
      </c>
      <c r="E307" s="190" t="s">
        <v>1536</v>
      </c>
      <c r="F307" s="183" t="s">
        <v>1532</v>
      </c>
      <c r="G307" s="183" t="s">
        <v>1533</v>
      </c>
      <c r="H307" s="184">
        <v>102091025358</v>
      </c>
      <c r="I307" s="185" t="s">
        <v>1534</v>
      </c>
      <c r="J307" s="146" t="s">
        <v>1535</v>
      </c>
      <c r="K307" s="247"/>
      <c r="L307" s="186">
        <v>44114</v>
      </c>
      <c r="M307" s="192">
        <v>4400000</v>
      </c>
    </row>
    <row r="308" spans="1:13" x14ac:dyDescent="0.25">
      <c r="A308" s="344"/>
      <c r="B308" s="344" t="s">
        <v>1542</v>
      </c>
      <c r="C308" s="344" t="s">
        <v>1543</v>
      </c>
      <c r="D308" s="344" t="s">
        <v>1544</v>
      </c>
      <c r="E308" s="190" t="s">
        <v>777</v>
      </c>
      <c r="F308" s="183" t="s">
        <v>1538</v>
      </c>
      <c r="G308" s="183" t="s">
        <v>1539</v>
      </c>
      <c r="H308" s="184">
        <v>103032014709</v>
      </c>
      <c r="I308" s="185" t="s">
        <v>1540</v>
      </c>
      <c r="J308" s="146" t="s">
        <v>1541</v>
      </c>
      <c r="K308" s="247"/>
      <c r="L308" s="186">
        <v>44114</v>
      </c>
      <c r="M308" s="192">
        <v>1250000</v>
      </c>
    </row>
    <row r="309" spans="1:13" hidden="1" x14ac:dyDescent="0.25">
      <c r="A309" s="344"/>
      <c r="B309" s="344" t="s">
        <v>1550</v>
      </c>
      <c r="C309" s="344">
        <v>256</v>
      </c>
      <c r="D309" s="344"/>
      <c r="E309" s="190" t="s">
        <v>1549</v>
      </c>
      <c r="F309" s="183" t="s">
        <v>1545</v>
      </c>
      <c r="G309" s="183" t="s">
        <v>1546</v>
      </c>
      <c r="H309" s="184">
        <v>102031020671</v>
      </c>
      <c r="I309" s="185" t="s">
        <v>1547</v>
      </c>
      <c r="J309" s="146" t="s">
        <v>1548</v>
      </c>
      <c r="K309" s="247" t="s">
        <v>1551</v>
      </c>
      <c r="L309" s="186">
        <v>44114</v>
      </c>
      <c r="M309" s="192"/>
    </row>
    <row r="310" spans="1:13" hidden="1" x14ac:dyDescent="0.25">
      <c r="A310" s="344">
        <v>192</v>
      </c>
      <c r="B310" s="344" t="s">
        <v>1294</v>
      </c>
      <c r="C310" s="344"/>
      <c r="D310" s="344" t="s">
        <v>1556</v>
      </c>
      <c r="E310" s="190" t="s">
        <v>309</v>
      </c>
      <c r="F310" s="183" t="s">
        <v>1552</v>
      </c>
      <c r="G310" s="183" t="s">
        <v>1553</v>
      </c>
      <c r="H310" s="184">
        <v>117071019919</v>
      </c>
      <c r="I310" s="185" t="s">
        <v>1554</v>
      </c>
      <c r="J310" s="146" t="s">
        <v>1555</v>
      </c>
      <c r="K310" s="247"/>
      <c r="L310" s="186">
        <v>44114</v>
      </c>
      <c r="M310" s="192">
        <v>4250000</v>
      </c>
    </row>
    <row r="311" spans="1:13" hidden="1" x14ac:dyDescent="0.25">
      <c r="A311" s="344">
        <v>107</v>
      </c>
      <c r="B311" s="344" t="s">
        <v>1562</v>
      </c>
      <c r="C311" s="344"/>
      <c r="D311" s="344" t="s">
        <v>1563</v>
      </c>
      <c r="E311" s="190" t="s">
        <v>1561</v>
      </c>
      <c r="F311" s="183" t="s">
        <v>1557</v>
      </c>
      <c r="G311" s="183" t="s">
        <v>1558</v>
      </c>
      <c r="H311" s="184">
        <v>101241138869</v>
      </c>
      <c r="I311" s="185" t="s">
        <v>1559</v>
      </c>
      <c r="J311" s="146" t="s">
        <v>1560</v>
      </c>
      <c r="K311" s="247"/>
      <c r="L311" s="186">
        <v>44114</v>
      </c>
      <c r="M311" s="192">
        <v>4000000</v>
      </c>
    </row>
    <row r="312" spans="1:13" hidden="1" x14ac:dyDescent="0.25">
      <c r="A312" s="344">
        <v>202</v>
      </c>
      <c r="B312" s="344" t="s">
        <v>1304</v>
      </c>
      <c r="C312" s="344"/>
      <c r="D312" s="344" t="s">
        <v>1569</v>
      </c>
      <c r="E312" s="190" t="s">
        <v>1568</v>
      </c>
      <c r="F312" s="183" t="s">
        <v>1564</v>
      </c>
      <c r="G312" s="183" t="s">
        <v>1565</v>
      </c>
      <c r="H312" s="184">
        <v>508991010886</v>
      </c>
      <c r="I312" s="185" t="s">
        <v>1566</v>
      </c>
      <c r="J312" s="146" t="s">
        <v>1567</v>
      </c>
      <c r="K312" s="247"/>
      <c r="L312" s="186">
        <v>44114</v>
      </c>
      <c r="M312" s="192">
        <f>(36750000/5)</f>
        <v>7350000</v>
      </c>
    </row>
    <row r="313" spans="1:13" hidden="1" x14ac:dyDescent="0.25">
      <c r="A313" s="344"/>
      <c r="B313" s="344" t="s">
        <v>1531</v>
      </c>
      <c r="C313" s="344" t="s">
        <v>1574</v>
      </c>
      <c r="D313" s="344"/>
      <c r="E313" s="190" t="s">
        <v>224</v>
      </c>
      <c r="F313" s="183" t="s">
        <v>1570</v>
      </c>
      <c r="G313" s="183" t="s">
        <v>1571</v>
      </c>
      <c r="H313" s="184">
        <v>210012022233</v>
      </c>
      <c r="I313" s="185" t="s">
        <v>1572</v>
      </c>
      <c r="J313" s="146" t="s">
        <v>1573</v>
      </c>
      <c r="K313" s="247"/>
      <c r="L313" s="186">
        <v>44117</v>
      </c>
      <c r="M313" s="192">
        <v>2350000</v>
      </c>
    </row>
    <row r="314" spans="1:13" hidden="1" x14ac:dyDescent="0.25">
      <c r="A314" s="344"/>
      <c r="B314" s="344" t="s">
        <v>1579</v>
      </c>
      <c r="C314" s="344">
        <v>257</v>
      </c>
      <c r="D314" s="344"/>
      <c r="E314" s="190" t="s">
        <v>1578</v>
      </c>
      <c r="F314" s="183" t="s">
        <v>1121</v>
      </c>
      <c r="G314" s="183" t="s">
        <v>1575</v>
      </c>
      <c r="H314" s="184">
        <v>101212200956</v>
      </c>
      <c r="I314" s="185" t="s">
        <v>1576</v>
      </c>
      <c r="J314" s="146" t="s">
        <v>1577</v>
      </c>
      <c r="K314" s="247"/>
      <c r="L314" s="186">
        <v>44097</v>
      </c>
      <c r="M314" s="192">
        <v>3600000</v>
      </c>
    </row>
    <row r="315" spans="1:13" hidden="1" x14ac:dyDescent="0.25">
      <c r="A315" s="344"/>
      <c r="B315" s="344" t="s">
        <v>1581</v>
      </c>
      <c r="C315" s="344"/>
      <c r="D315" s="344">
        <v>130</v>
      </c>
      <c r="E315" s="201" t="s">
        <v>87</v>
      </c>
      <c r="F315" s="183" t="s">
        <v>623</v>
      </c>
      <c r="G315" s="183" t="s">
        <v>624</v>
      </c>
      <c r="H315" s="184">
        <v>101251194702</v>
      </c>
      <c r="I315" s="185" t="s">
        <v>625</v>
      </c>
      <c r="J315" s="146" t="s">
        <v>1493</v>
      </c>
      <c r="K315" s="247"/>
      <c r="L315" s="186">
        <v>44119</v>
      </c>
      <c r="M315" s="192">
        <v>3000000</v>
      </c>
    </row>
    <row r="316" spans="1:13" hidden="1" x14ac:dyDescent="0.25">
      <c r="A316" s="344"/>
      <c r="B316" s="344" t="s">
        <v>1581</v>
      </c>
      <c r="C316" s="344">
        <v>258</v>
      </c>
      <c r="D316" s="344"/>
      <c r="E316" s="190" t="s">
        <v>87</v>
      </c>
      <c r="F316" s="368"/>
      <c r="G316" s="368"/>
      <c r="H316" s="368"/>
      <c r="I316" s="368"/>
      <c r="J316" s="146" t="s">
        <v>1493</v>
      </c>
      <c r="K316" s="247" t="s">
        <v>1583</v>
      </c>
      <c r="L316" s="186">
        <v>44119</v>
      </c>
      <c r="M316" s="192"/>
    </row>
    <row r="317" spans="1:13" hidden="1" x14ac:dyDescent="0.25">
      <c r="A317" s="344">
        <v>177</v>
      </c>
      <c r="B317" s="344" t="s">
        <v>1279</v>
      </c>
      <c r="C317" s="344">
        <v>259</v>
      </c>
      <c r="D317" s="344" t="s">
        <v>1588</v>
      </c>
      <c r="E317" s="190" t="s">
        <v>87</v>
      </c>
      <c r="F317" s="183" t="s">
        <v>1006</v>
      </c>
      <c r="G317" s="183" t="s">
        <v>1584</v>
      </c>
      <c r="H317" s="184">
        <v>117171002438</v>
      </c>
      <c r="I317" s="185" t="s">
        <v>1585</v>
      </c>
      <c r="J317" s="146" t="s">
        <v>1586</v>
      </c>
      <c r="K317" s="247" t="s">
        <v>1587</v>
      </c>
      <c r="L317" s="186">
        <v>44120</v>
      </c>
      <c r="M317" s="192">
        <v>3000000</v>
      </c>
    </row>
    <row r="318" spans="1:13" x14ac:dyDescent="0.25">
      <c r="A318" s="344"/>
      <c r="B318" s="344" t="s">
        <v>1594</v>
      </c>
      <c r="C318" s="344">
        <v>260</v>
      </c>
      <c r="D318" s="344"/>
      <c r="E318" s="190" t="s">
        <v>1593</v>
      </c>
      <c r="F318" s="183" t="s">
        <v>1589</v>
      </c>
      <c r="G318" s="183" t="s">
        <v>1590</v>
      </c>
      <c r="H318" s="184">
        <v>101241158476</v>
      </c>
      <c r="I318" s="185" t="s">
        <v>1591</v>
      </c>
      <c r="J318" s="146" t="s">
        <v>1592</v>
      </c>
      <c r="K318" s="247"/>
      <c r="L318" s="186">
        <v>44121</v>
      </c>
      <c r="M318" s="192">
        <v>1000000</v>
      </c>
    </row>
    <row r="319" spans="1:13" hidden="1" x14ac:dyDescent="0.25">
      <c r="A319" s="344">
        <v>122</v>
      </c>
      <c r="B319" s="344" t="s">
        <v>808</v>
      </c>
      <c r="C319" s="344">
        <v>261</v>
      </c>
      <c r="D319" s="344" t="s">
        <v>1599</v>
      </c>
      <c r="E319" s="190" t="s">
        <v>87</v>
      </c>
      <c r="F319" s="183" t="s">
        <v>1595</v>
      </c>
      <c r="G319" s="183" t="s">
        <v>1596</v>
      </c>
      <c r="H319" s="184">
        <v>118031008052</v>
      </c>
      <c r="I319" s="185" t="s">
        <v>1597</v>
      </c>
      <c r="J319" s="146" t="s">
        <v>857</v>
      </c>
      <c r="K319" s="247" t="s">
        <v>1598</v>
      </c>
      <c r="L319" s="186">
        <v>44122</v>
      </c>
      <c r="M319" s="192">
        <v>2400000</v>
      </c>
    </row>
    <row r="320" spans="1:13" hidden="1" x14ac:dyDescent="0.25">
      <c r="A320" s="344"/>
      <c r="B320" s="344" t="s">
        <v>1605</v>
      </c>
      <c r="C320" s="344">
        <v>264</v>
      </c>
      <c r="D320" s="344"/>
      <c r="E320" s="190" t="s">
        <v>87</v>
      </c>
      <c r="F320" s="183" t="s">
        <v>1601</v>
      </c>
      <c r="G320" s="183" t="s">
        <v>1602</v>
      </c>
      <c r="H320" s="184">
        <v>101212235571</v>
      </c>
      <c r="I320" s="185" t="s">
        <v>1603</v>
      </c>
      <c r="J320" s="146" t="s">
        <v>1604</v>
      </c>
      <c r="K320" s="247" t="s">
        <v>1583</v>
      </c>
      <c r="L320" s="186">
        <v>44127</v>
      </c>
      <c r="M320" s="192">
        <v>2600000</v>
      </c>
    </row>
    <row r="321" spans="1:13" hidden="1" x14ac:dyDescent="0.25">
      <c r="A321" s="344">
        <v>204</v>
      </c>
      <c r="B321" s="344" t="s">
        <v>1606</v>
      </c>
      <c r="C321" s="344"/>
      <c r="D321" s="344" t="s">
        <v>1614</v>
      </c>
      <c r="E321" s="190" t="s">
        <v>1613</v>
      </c>
      <c r="F321" s="183" t="s">
        <v>1609</v>
      </c>
      <c r="G321" s="183" t="s">
        <v>1610</v>
      </c>
      <c r="H321" s="184">
        <v>305011028892</v>
      </c>
      <c r="I321" s="185" t="s">
        <v>1611</v>
      </c>
      <c r="J321" s="146" t="s">
        <v>1612</v>
      </c>
      <c r="K321" s="247"/>
      <c r="L321" s="186">
        <v>44137</v>
      </c>
      <c r="M321" s="192">
        <v>3400000</v>
      </c>
    </row>
    <row r="322" spans="1:13" hidden="1" x14ac:dyDescent="0.25">
      <c r="A322" s="344"/>
      <c r="B322" s="344" t="s">
        <v>1615</v>
      </c>
      <c r="C322" s="344"/>
      <c r="D322" s="344">
        <v>133</v>
      </c>
      <c r="E322" s="190" t="s">
        <v>87</v>
      </c>
      <c r="F322" s="183" t="s">
        <v>623</v>
      </c>
      <c r="G322" s="183" t="s">
        <v>624</v>
      </c>
      <c r="H322" s="184">
        <v>101251194702</v>
      </c>
      <c r="I322" s="185" t="s">
        <v>625</v>
      </c>
      <c r="J322" s="146" t="s">
        <v>1493</v>
      </c>
      <c r="K322" s="247"/>
      <c r="L322" s="186">
        <v>44135</v>
      </c>
      <c r="M322" s="192">
        <v>3000000</v>
      </c>
    </row>
    <row r="323" spans="1:13" hidden="1" x14ac:dyDescent="0.25">
      <c r="A323" s="344">
        <v>107</v>
      </c>
      <c r="B323" s="344" t="s">
        <v>1562</v>
      </c>
      <c r="C323" s="344">
        <v>262</v>
      </c>
      <c r="D323" s="344" t="s">
        <v>1620</v>
      </c>
      <c r="E323" s="190" t="s">
        <v>585</v>
      </c>
      <c r="F323" s="183" t="s">
        <v>1616</v>
      </c>
      <c r="G323" s="183" t="s">
        <v>1617</v>
      </c>
      <c r="H323" s="184">
        <v>101221057175</v>
      </c>
      <c r="I323" s="185" t="s">
        <v>1618</v>
      </c>
      <c r="J323" s="146" t="s">
        <v>1619</v>
      </c>
      <c r="K323" s="247"/>
      <c r="L323" s="186">
        <v>44123</v>
      </c>
      <c r="M323" s="192">
        <v>4000000</v>
      </c>
    </row>
    <row r="324" spans="1:13" hidden="1" x14ac:dyDescent="0.25">
      <c r="A324" s="344">
        <v>99</v>
      </c>
      <c r="B324" s="344" t="s">
        <v>769</v>
      </c>
      <c r="C324" s="344">
        <v>263</v>
      </c>
      <c r="D324" s="344" t="s">
        <v>1626</v>
      </c>
      <c r="E324" s="190" t="s">
        <v>309</v>
      </c>
      <c r="F324" s="183" t="s">
        <v>1621</v>
      </c>
      <c r="G324" s="183" t="s">
        <v>1622</v>
      </c>
      <c r="H324" s="184">
        <v>101231124668</v>
      </c>
      <c r="I324" s="185" t="s">
        <v>1623</v>
      </c>
      <c r="J324" s="146" t="s">
        <v>1624</v>
      </c>
      <c r="K324" s="247" t="s">
        <v>1625</v>
      </c>
      <c r="L324" s="186">
        <v>44126</v>
      </c>
      <c r="M324" s="192">
        <v>4800000</v>
      </c>
    </row>
    <row r="325" spans="1:13" hidden="1" x14ac:dyDescent="0.25">
      <c r="A325" s="344"/>
      <c r="B325" s="344" t="s">
        <v>1627</v>
      </c>
      <c r="C325" s="344">
        <v>265</v>
      </c>
      <c r="D325" s="344"/>
      <c r="E325" s="190" t="s">
        <v>87</v>
      </c>
      <c r="F325" s="183"/>
      <c r="G325" s="183"/>
      <c r="H325" s="184"/>
      <c r="I325" s="185"/>
      <c r="J325" s="146"/>
      <c r="K325" s="247" t="s">
        <v>1583</v>
      </c>
      <c r="L325" s="186">
        <v>44131</v>
      </c>
      <c r="M325" s="192"/>
    </row>
    <row r="326" spans="1:13" hidden="1" x14ac:dyDescent="0.25">
      <c r="A326" s="344">
        <v>154</v>
      </c>
      <c r="B326" s="344" t="s">
        <v>942</v>
      </c>
      <c r="C326" s="344">
        <v>266</v>
      </c>
      <c r="D326" s="344"/>
      <c r="E326" s="190" t="s">
        <v>936</v>
      </c>
      <c r="F326" s="183" t="s">
        <v>1628</v>
      </c>
      <c r="G326" s="183" t="s">
        <v>1629</v>
      </c>
      <c r="H326" s="184">
        <v>117071021170</v>
      </c>
      <c r="I326" s="185" t="s">
        <v>1630</v>
      </c>
      <c r="J326" s="146" t="s">
        <v>1631</v>
      </c>
      <c r="K326" s="247"/>
      <c r="L326" s="186">
        <v>44132</v>
      </c>
      <c r="M326" s="192">
        <v>7200000</v>
      </c>
    </row>
    <row r="327" spans="1:13" hidden="1" x14ac:dyDescent="0.25">
      <c r="A327" s="344">
        <v>204</v>
      </c>
      <c r="B327" s="344" t="s">
        <v>1606</v>
      </c>
      <c r="C327" s="344">
        <v>267</v>
      </c>
      <c r="D327" s="344"/>
      <c r="E327" s="190" t="s">
        <v>435</v>
      </c>
      <c r="F327" s="183" t="s">
        <v>1609</v>
      </c>
      <c r="G327" s="183" t="s">
        <v>1610</v>
      </c>
      <c r="H327" s="184">
        <v>305011028892</v>
      </c>
      <c r="I327" s="185" t="s">
        <v>1632</v>
      </c>
      <c r="J327" s="146" t="s">
        <v>1612</v>
      </c>
      <c r="K327" s="247"/>
      <c r="L327" s="186">
        <v>44138</v>
      </c>
      <c r="M327" s="192">
        <v>3500000</v>
      </c>
    </row>
    <row r="328" spans="1:13" hidden="1" x14ac:dyDescent="0.25">
      <c r="A328" s="344"/>
      <c r="B328" s="344" t="s">
        <v>1633</v>
      </c>
      <c r="C328" s="344">
        <v>269</v>
      </c>
      <c r="D328" s="344" t="s">
        <v>1634</v>
      </c>
      <c r="E328" s="190" t="s">
        <v>87</v>
      </c>
      <c r="F328" s="183" t="s">
        <v>1658</v>
      </c>
      <c r="G328" s="183" t="s">
        <v>1659</v>
      </c>
      <c r="H328" s="184">
        <v>107011011749</v>
      </c>
      <c r="I328" s="185" t="s">
        <v>1660</v>
      </c>
      <c r="J328" s="146" t="s">
        <v>1661</v>
      </c>
      <c r="K328" s="247"/>
      <c r="L328" s="186">
        <v>44142</v>
      </c>
      <c r="M328" s="192">
        <v>2600000</v>
      </c>
    </row>
    <row r="329" spans="1:13" hidden="1" x14ac:dyDescent="0.25">
      <c r="A329" s="344"/>
      <c r="B329" s="344" t="s">
        <v>1615</v>
      </c>
      <c r="C329" s="344">
        <v>268</v>
      </c>
      <c r="D329" s="344">
        <v>133</v>
      </c>
      <c r="E329" s="190" t="s">
        <v>87</v>
      </c>
      <c r="F329" s="183"/>
      <c r="G329" s="183"/>
      <c r="H329" s="184"/>
      <c r="I329" s="185"/>
      <c r="J329" s="146"/>
      <c r="K329" s="247" t="s">
        <v>1583</v>
      </c>
      <c r="L329" s="186">
        <v>44139</v>
      </c>
      <c r="M329" s="192">
        <v>3000000</v>
      </c>
    </row>
    <row r="330" spans="1:13" hidden="1" x14ac:dyDescent="0.25">
      <c r="A330" s="344">
        <v>205</v>
      </c>
      <c r="B330" s="344" t="s">
        <v>1607</v>
      </c>
      <c r="C330" s="344">
        <v>270</v>
      </c>
      <c r="D330" s="344"/>
      <c r="E330" s="190" t="s">
        <v>87</v>
      </c>
      <c r="F330" s="183" t="s">
        <v>1636</v>
      </c>
      <c r="G330" s="183" t="s">
        <v>1637</v>
      </c>
      <c r="H330" s="184">
        <v>101211155525</v>
      </c>
      <c r="I330" s="185" t="s">
        <v>1638</v>
      </c>
      <c r="J330" s="146" t="s">
        <v>1639</v>
      </c>
      <c r="K330" s="247"/>
      <c r="L330" s="186">
        <v>44143</v>
      </c>
      <c r="M330" s="192">
        <v>2750000</v>
      </c>
    </row>
    <row r="331" spans="1:13" hidden="1" x14ac:dyDescent="0.25">
      <c r="A331" s="344">
        <v>159</v>
      </c>
      <c r="B331" s="344" t="s">
        <v>1102</v>
      </c>
      <c r="C331" s="344">
        <v>271</v>
      </c>
      <c r="D331" s="344">
        <v>91</v>
      </c>
      <c r="E331" s="190" t="s">
        <v>309</v>
      </c>
      <c r="F331" s="183" t="s">
        <v>172</v>
      </c>
      <c r="G331" s="183" t="s">
        <v>1640</v>
      </c>
      <c r="H331" s="184">
        <v>117121018674</v>
      </c>
      <c r="I331" s="185" t="s">
        <v>1641</v>
      </c>
      <c r="J331" s="146" t="s">
        <v>1642</v>
      </c>
      <c r="K331" s="247" t="s">
        <v>1643</v>
      </c>
      <c r="L331" s="186">
        <v>44145</v>
      </c>
      <c r="M331" s="192">
        <v>4700000</v>
      </c>
    </row>
    <row r="332" spans="1:13" hidden="1" x14ac:dyDescent="0.25">
      <c r="A332" s="344"/>
      <c r="B332" s="344" t="s">
        <v>844</v>
      </c>
      <c r="C332" s="344">
        <v>272</v>
      </c>
      <c r="D332" s="344">
        <v>76</v>
      </c>
      <c r="E332" s="190" t="s">
        <v>1648</v>
      </c>
      <c r="F332" s="183" t="s">
        <v>1644</v>
      </c>
      <c r="G332" s="183" t="s">
        <v>268</v>
      </c>
      <c r="H332" s="184">
        <v>117311011263</v>
      </c>
      <c r="I332" s="185" t="s">
        <v>1645</v>
      </c>
      <c r="J332" s="146" t="s">
        <v>1646</v>
      </c>
      <c r="K332" s="247" t="s">
        <v>1647</v>
      </c>
      <c r="L332" s="186">
        <v>44145</v>
      </c>
      <c r="M332" s="192">
        <v>3700000</v>
      </c>
    </row>
    <row r="333" spans="1:13" hidden="1" x14ac:dyDescent="0.25">
      <c r="A333" s="344"/>
      <c r="B333" s="344" t="s">
        <v>1652</v>
      </c>
      <c r="C333" s="344">
        <v>273</v>
      </c>
      <c r="D333" s="344"/>
      <c r="E333" s="190" t="s">
        <v>87</v>
      </c>
      <c r="F333" s="183" t="s">
        <v>1649</v>
      </c>
      <c r="G333" s="183" t="s">
        <v>1650</v>
      </c>
      <c r="H333" s="184">
        <v>101242151271</v>
      </c>
      <c r="I333" s="185" t="s">
        <v>1651</v>
      </c>
      <c r="J333" s="146" t="s">
        <v>857</v>
      </c>
      <c r="K333" s="247" t="s">
        <v>1583</v>
      </c>
      <c r="L333" s="186">
        <v>44146</v>
      </c>
      <c r="M333" s="192">
        <v>3000000</v>
      </c>
    </row>
    <row r="334" spans="1:13" hidden="1" x14ac:dyDescent="0.25">
      <c r="A334" s="344"/>
      <c r="B334" s="344" t="s">
        <v>1657</v>
      </c>
      <c r="C334" s="344">
        <v>274</v>
      </c>
      <c r="D334" s="344"/>
      <c r="E334" s="190" t="s">
        <v>434</v>
      </c>
      <c r="F334" s="183" t="s">
        <v>1653</v>
      </c>
      <c r="G334" s="183" t="s">
        <v>1654</v>
      </c>
      <c r="H334" s="184">
        <v>101241187538</v>
      </c>
      <c r="I334" s="185" t="s">
        <v>1655</v>
      </c>
      <c r="J334" s="146" t="s">
        <v>1656</v>
      </c>
      <c r="K334" s="247"/>
      <c r="L334" s="186">
        <v>44146</v>
      </c>
      <c r="M334" s="192">
        <v>3800000</v>
      </c>
    </row>
    <row r="335" spans="1:13" hidden="1" x14ac:dyDescent="0.25">
      <c r="B335" s="173" t="s">
        <v>1699</v>
      </c>
      <c r="C335" s="344">
        <v>275</v>
      </c>
      <c r="D335" s="344"/>
      <c r="E335" s="172" t="s">
        <v>735</v>
      </c>
      <c r="F335" s="183" t="s">
        <v>1700</v>
      </c>
      <c r="G335" s="183" t="s">
        <v>1696</v>
      </c>
      <c r="H335" s="184">
        <v>102071009709</v>
      </c>
      <c r="I335" s="185" t="s">
        <v>1697</v>
      </c>
      <c r="J335" s="146" t="s">
        <v>1698</v>
      </c>
      <c r="L335" s="400">
        <v>44146</v>
      </c>
      <c r="M335" s="192">
        <v>2900000</v>
      </c>
    </row>
    <row r="336" spans="1:13" hidden="1" x14ac:dyDescent="0.25">
      <c r="A336" s="344"/>
      <c r="B336" s="344" t="s">
        <v>1662</v>
      </c>
      <c r="C336" s="344">
        <v>276</v>
      </c>
      <c r="D336" s="344"/>
      <c r="E336" s="190" t="s">
        <v>735</v>
      </c>
      <c r="K336" s="247" t="s">
        <v>1583</v>
      </c>
      <c r="L336" s="186">
        <v>44147</v>
      </c>
      <c r="M336" s="192">
        <v>2000000</v>
      </c>
    </row>
    <row r="337" spans="1:13" hidden="1" x14ac:dyDescent="0.25">
      <c r="A337" s="344">
        <v>227</v>
      </c>
      <c r="B337" s="344" t="s">
        <v>1684</v>
      </c>
      <c r="C337" s="344">
        <v>277</v>
      </c>
      <c r="D337" s="344"/>
      <c r="E337" s="190" t="s">
        <v>87</v>
      </c>
      <c r="F337" s="183" t="s">
        <v>1701</v>
      </c>
      <c r="G337" s="183" t="s">
        <v>1702</v>
      </c>
      <c r="H337" s="184">
        <v>103131006083</v>
      </c>
      <c r="I337" s="185" t="s">
        <v>1703</v>
      </c>
      <c r="J337" s="146" t="s">
        <v>1704</v>
      </c>
      <c r="K337" s="247"/>
      <c r="L337" s="186">
        <v>44150</v>
      </c>
      <c r="M337" s="192">
        <v>2500000</v>
      </c>
    </row>
    <row r="338" spans="1:13" hidden="1" x14ac:dyDescent="0.25">
      <c r="A338" s="344">
        <v>220</v>
      </c>
      <c r="B338" s="344" t="s">
        <v>1677</v>
      </c>
      <c r="C338" s="344">
        <v>278</v>
      </c>
      <c r="D338" s="344"/>
      <c r="E338" s="190" t="s">
        <v>87</v>
      </c>
      <c r="F338" s="183" t="s">
        <v>1405</v>
      </c>
      <c r="G338" s="183" t="s">
        <v>1705</v>
      </c>
      <c r="H338" s="184">
        <v>201031040070</v>
      </c>
      <c r="I338" s="185" t="s">
        <v>1706</v>
      </c>
      <c r="J338" s="146" t="s">
        <v>1707</v>
      </c>
      <c r="K338" s="247"/>
      <c r="L338" s="186">
        <v>44150</v>
      </c>
      <c r="M338" s="192">
        <v>2450000</v>
      </c>
    </row>
    <row r="339" spans="1:13" hidden="1" x14ac:dyDescent="0.25">
      <c r="A339" s="344"/>
      <c r="B339" s="344" t="s">
        <v>1713</v>
      </c>
      <c r="C339" s="344">
        <v>279</v>
      </c>
      <c r="D339" s="344"/>
      <c r="E339" s="190" t="s">
        <v>1712</v>
      </c>
      <c r="F339" s="183" t="s">
        <v>1708</v>
      </c>
      <c r="G339" s="183" t="s">
        <v>1709</v>
      </c>
      <c r="H339" s="184">
        <v>111012007887</v>
      </c>
      <c r="I339" s="185" t="s">
        <v>1710</v>
      </c>
      <c r="J339" s="146" t="s">
        <v>1711</v>
      </c>
      <c r="K339" s="247"/>
      <c r="L339" s="186">
        <v>44150</v>
      </c>
      <c r="M339" s="192">
        <v>2900000</v>
      </c>
    </row>
    <row r="340" spans="1:13" hidden="1" x14ac:dyDescent="0.25">
      <c r="A340" s="344">
        <v>228</v>
      </c>
      <c r="B340" s="344" t="s">
        <v>1690</v>
      </c>
      <c r="C340" s="344">
        <v>280</v>
      </c>
      <c r="D340" s="344"/>
      <c r="E340" s="190" t="s">
        <v>434</v>
      </c>
      <c r="F340" s="183" t="s">
        <v>1714</v>
      </c>
      <c r="G340" s="183" t="s">
        <v>1715</v>
      </c>
      <c r="H340" s="184">
        <v>102031005006</v>
      </c>
      <c r="I340" s="185" t="s">
        <v>1716</v>
      </c>
      <c r="J340" s="146" t="s">
        <v>1717</v>
      </c>
      <c r="K340" s="247"/>
      <c r="L340" s="186">
        <v>44151</v>
      </c>
      <c r="M340" s="192">
        <v>3600000</v>
      </c>
    </row>
    <row r="341" spans="1:13" hidden="1" x14ac:dyDescent="0.25">
      <c r="A341" s="344">
        <v>229</v>
      </c>
      <c r="B341" s="344" t="s">
        <v>1686</v>
      </c>
      <c r="C341" s="344">
        <v>281</v>
      </c>
      <c r="D341" s="344"/>
      <c r="E341" s="190" t="s">
        <v>87</v>
      </c>
      <c r="F341" s="183" t="s">
        <v>1718</v>
      </c>
      <c r="G341" s="183" t="s">
        <v>1719</v>
      </c>
      <c r="H341" s="184">
        <v>101212206149</v>
      </c>
      <c r="I341" s="185" t="s">
        <v>1720</v>
      </c>
      <c r="J341" s="146" t="s">
        <v>1721</v>
      </c>
      <c r="K341" s="247"/>
      <c r="L341" s="186">
        <v>44151</v>
      </c>
      <c r="M341" s="192">
        <v>2465000</v>
      </c>
    </row>
    <row r="342" spans="1:13" hidden="1" x14ac:dyDescent="0.25">
      <c r="A342" s="344">
        <v>217</v>
      </c>
      <c r="B342" s="344" t="s">
        <v>1674</v>
      </c>
      <c r="C342" s="344">
        <v>282</v>
      </c>
      <c r="D342" s="344"/>
      <c r="E342" s="190" t="s">
        <v>434</v>
      </c>
      <c r="F342" s="183" t="s">
        <v>1722</v>
      </c>
      <c r="G342" s="183" t="s">
        <v>1723</v>
      </c>
      <c r="H342" s="184">
        <v>301072020005</v>
      </c>
      <c r="I342" s="185" t="s">
        <v>1724</v>
      </c>
      <c r="J342" s="146" t="s">
        <v>1725</v>
      </c>
      <c r="K342" s="247"/>
      <c r="L342" s="186">
        <v>44151</v>
      </c>
      <c r="M342" s="192">
        <v>2600000</v>
      </c>
    </row>
    <row r="343" spans="1:13" hidden="1" x14ac:dyDescent="0.25">
      <c r="A343" s="344">
        <v>221</v>
      </c>
      <c r="B343" s="344" t="s">
        <v>1678</v>
      </c>
      <c r="C343" s="344">
        <v>283</v>
      </c>
      <c r="D343" s="344"/>
      <c r="E343" s="190" t="s">
        <v>434</v>
      </c>
      <c r="F343" s="183" t="s">
        <v>1726</v>
      </c>
      <c r="G343" s="183" t="s">
        <v>1727</v>
      </c>
      <c r="H343" s="184">
        <v>210011001763</v>
      </c>
      <c r="I343" s="185" t="s">
        <v>1728</v>
      </c>
      <c r="J343" s="146" t="s">
        <v>1729</v>
      </c>
      <c r="K343" s="247"/>
      <c r="L343" s="186">
        <v>44151</v>
      </c>
      <c r="M343" s="192">
        <v>3800000</v>
      </c>
    </row>
    <row r="344" spans="1:13" hidden="1" x14ac:dyDescent="0.25">
      <c r="A344" s="344">
        <v>215</v>
      </c>
      <c r="B344" s="344" t="s">
        <v>1672</v>
      </c>
      <c r="C344" s="344">
        <v>284</v>
      </c>
      <c r="D344" s="344"/>
      <c r="E344" s="190" t="s">
        <v>87</v>
      </c>
      <c r="F344" s="183" t="s">
        <v>1730</v>
      </c>
      <c r="G344" s="183" t="s">
        <v>1731</v>
      </c>
      <c r="H344" s="184">
        <v>208292000036</v>
      </c>
      <c r="I344" s="185" t="s">
        <v>1732</v>
      </c>
      <c r="J344" s="146" t="s">
        <v>1733</v>
      </c>
      <c r="K344" s="247"/>
      <c r="L344" s="186">
        <v>44151</v>
      </c>
      <c r="M344" s="192">
        <v>2500000</v>
      </c>
    </row>
    <row r="345" spans="1:13" hidden="1" x14ac:dyDescent="0.25">
      <c r="A345" s="344">
        <v>207</v>
      </c>
      <c r="B345" s="344" t="s">
        <v>1664</v>
      </c>
      <c r="C345" s="344">
        <v>285</v>
      </c>
      <c r="D345" s="344"/>
      <c r="E345" s="190" t="s">
        <v>87</v>
      </c>
      <c r="F345" s="183" t="s">
        <v>1734</v>
      </c>
      <c r="G345" s="183" t="s">
        <v>1735</v>
      </c>
      <c r="H345" s="184">
        <v>118011021068</v>
      </c>
      <c r="I345" s="185" t="s">
        <v>1736</v>
      </c>
      <c r="J345" s="146" t="s">
        <v>1737</v>
      </c>
      <c r="K345" s="247"/>
      <c r="L345" s="186">
        <v>44151</v>
      </c>
      <c r="M345" s="192">
        <v>2400000</v>
      </c>
    </row>
    <row r="346" spans="1:13" hidden="1" x14ac:dyDescent="0.25">
      <c r="A346" s="344">
        <v>212</v>
      </c>
      <c r="B346" s="344" t="s">
        <v>1669</v>
      </c>
      <c r="C346" s="344">
        <v>286</v>
      </c>
      <c r="D346" s="344"/>
      <c r="E346" s="190" t="s">
        <v>87</v>
      </c>
      <c r="F346" s="183" t="s">
        <v>1708</v>
      </c>
      <c r="G346" s="183" t="s">
        <v>1709</v>
      </c>
      <c r="H346" s="184">
        <v>111012007887</v>
      </c>
      <c r="I346" s="185" t="s">
        <v>1738</v>
      </c>
      <c r="J346" s="146" t="s">
        <v>1711</v>
      </c>
      <c r="K346" s="247"/>
      <c r="L346" s="186">
        <v>44151</v>
      </c>
      <c r="M346" s="192">
        <v>2600000</v>
      </c>
    </row>
    <row r="347" spans="1:13" hidden="1" x14ac:dyDescent="0.25">
      <c r="A347" s="344">
        <v>226</v>
      </c>
      <c r="B347" s="344" t="s">
        <v>1683</v>
      </c>
      <c r="C347" s="344">
        <v>287</v>
      </c>
      <c r="D347" s="344"/>
      <c r="E347" s="190" t="s">
        <v>434</v>
      </c>
      <c r="F347" s="183" t="s">
        <v>1552</v>
      </c>
      <c r="G347" s="183" t="s">
        <v>1739</v>
      </c>
      <c r="H347" s="184">
        <v>117031017166</v>
      </c>
      <c r="I347" s="185" t="s">
        <v>1740</v>
      </c>
      <c r="J347" s="146" t="s">
        <v>1741</v>
      </c>
      <c r="K347" s="247"/>
      <c r="L347" s="186">
        <v>44151</v>
      </c>
      <c r="M347" s="192">
        <v>3630000</v>
      </c>
    </row>
    <row r="348" spans="1:13" hidden="1" x14ac:dyDescent="0.25">
      <c r="A348" s="344"/>
      <c r="B348" s="344" t="s">
        <v>1747</v>
      </c>
      <c r="C348" s="344">
        <v>288</v>
      </c>
      <c r="D348" s="344"/>
      <c r="E348" s="190" t="s">
        <v>1746</v>
      </c>
      <c r="F348" s="183" t="s">
        <v>1742</v>
      </c>
      <c r="G348" s="183" t="s">
        <v>1743</v>
      </c>
      <c r="H348" s="184">
        <v>101251090079</v>
      </c>
      <c r="I348" s="185" t="s">
        <v>1744</v>
      </c>
      <c r="J348" s="146" t="s">
        <v>1745</v>
      </c>
      <c r="K348" s="247"/>
      <c r="L348" s="186">
        <v>44152</v>
      </c>
      <c r="M348" s="192">
        <v>1200000</v>
      </c>
    </row>
    <row r="349" spans="1:13" hidden="1" x14ac:dyDescent="0.25">
      <c r="A349" s="344">
        <v>219</v>
      </c>
      <c r="B349" s="344" t="s">
        <v>1676</v>
      </c>
      <c r="C349" s="344">
        <v>289</v>
      </c>
      <c r="D349" s="344"/>
      <c r="E349" s="190" t="s">
        <v>434</v>
      </c>
      <c r="F349" s="183" t="s">
        <v>1419</v>
      </c>
      <c r="G349" s="183" t="s">
        <v>1748</v>
      </c>
      <c r="H349" s="184">
        <v>101251126787</v>
      </c>
      <c r="I349" s="185" t="s">
        <v>1749</v>
      </c>
      <c r="J349" s="146" t="s">
        <v>1750</v>
      </c>
      <c r="K349" s="247"/>
      <c r="L349" s="186">
        <v>44152</v>
      </c>
      <c r="M349" s="192">
        <v>3750000</v>
      </c>
    </row>
    <row r="350" spans="1:13" hidden="1" x14ac:dyDescent="0.25">
      <c r="A350" s="344"/>
      <c r="B350" s="344" t="s">
        <v>1760</v>
      </c>
      <c r="C350" s="344">
        <v>290</v>
      </c>
      <c r="D350" s="344"/>
      <c r="E350" s="190" t="s">
        <v>1759</v>
      </c>
      <c r="F350" s="183" t="s">
        <v>1755</v>
      </c>
      <c r="G350" s="183" t="s">
        <v>1756</v>
      </c>
      <c r="H350" s="184">
        <v>108991038495</v>
      </c>
      <c r="I350" s="185" t="s">
        <v>1757</v>
      </c>
      <c r="J350" s="146" t="s">
        <v>1758</v>
      </c>
      <c r="K350" s="247"/>
      <c r="L350" s="186">
        <v>44152</v>
      </c>
      <c r="M350" s="192">
        <v>8000000</v>
      </c>
    </row>
    <row r="351" spans="1:13" hidden="1" x14ac:dyDescent="0.25">
      <c r="A351" s="344">
        <v>234</v>
      </c>
      <c r="B351" s="344" t="s">
        <v>1691</v>
      </c>
      <c r="C351" s="344">
        <v>291</v>
      </c>
      <c r="D351" s="344"/>
      <c r="E351" s="190" t="s">
        <v>434</v>
      </c>
      <c r="F351" s="183" t="s">
        <v>1751</v>
      </c>
      <c r="G351" s="183" t="s">
        <v>1752</v>
      </c>
      <c r="H351" s="184">
        <v>101221092353</v>
      </c>
      <c r="I351" s="185" t="s">
        <v>1753</v>
      </c>
      <c r="J351" s="146" t="s">
        <v>1754</v>
      </c>
      <c r="K351" s="247"/>
      <c r="L351" s="186">
        <v>44152</v>
      </c>
      <c r="M351" s="192">
        <v>3200000</v>
      </c>
    </row>
    <row r="352" spans="1:13" hidden="1" x14ac:dyDescent="0.25">
      <c r="A352" s="344">
        <v>170</v>
      </c>
      <c r="B352" s="344" t="s">
        <v>1272</v>
      </c>
      <c r="C352" s="344">
        <v>292</v>
      </c>
      <c r="D352" s="344"/>
      <c r="E352" s="190" t="s">
        <v>87</v>
      </c>
      <c r="F352" s="183" t="s">
        <v>1761</v>
      </c>
      <c r="G352" s="183" t="s">
        <v>1762</v>
      </c>
      <c r="H352" s="184">
        <v>101241137283</v>
      </c>
      <c r="I352" s="185" t="s">
        <v>1763</v>
      </c>
      <c r="J352" s="146" t="s">
        <v>1764</v>
      </c>
      <c r="K352" s="247"/>
      <c r="L352" s="186">
        <v>44154</v>
      </c>
      <c r="M352" s="192">
        <v>2600000</v>
      </c>
    </row>
    <row r="353" spans="1:13" hidden="1" x14ac:dyDescent="0.25">
      <c r="A353" s="344">
        <v>225</v>
      </c>
      <c r="B353" s="344" t="s">
        <v>1682</v>
      </c>
      <c r="C353" s="344">
        <v>293</v>
      </c>
      <c r="D353" s="344"/>
      <c r="E353" s="190" t="s">
        <v>87</v>
      </c>
      <c r="F353" s="183" t="s">
        <v>1765</v>
      </c>
      <c r="G353" s="183" t="s">
        <v>1766</v>
      </c>
      <c r="H353" s="184">
        <v>103051016657</v>
      </c>
      <c r="I353" s="185" t="s">
        <v>1767</v>
      </c>
      <c r="J353" s="146" t="s">
        <v>1768</v>
      </c>
      <c r="K353" s="247"/>
      <c r="L353" s="186">
        <v>44155</v>
      </c>
      <c r="M353" s="192">
        <v>2600000</v>
      </c>
    </row>
    <row r="354" spans="1:13" hidden="1" x14ac:dyDescent="0.25">
      <c r="A354" s="344">
        <v>210</v>
      </c>
      <c r="B354" s="344" t="s">
        <v>1667</v>
      </c>
      <c r="C354" s="344">
        <v>294</v>
      </c>
      <c r="D354" s="344"/>
      <c r="E354" s="190" t="s">
        <v>434</v>
      </c>
      <c r="F354" s="183" t="s">
        <v>1769</v>
      </c>
      <c r="G354" s="183" t="s">
        <v>1770</v>
      </c>
      <c r="H354" s="184">
        <v>101251087324</v>
      </c>
      <c r="I354" s="185" t="s">
        <v>1771</v>
      </c>
      <c r="J354" s="146" t="s">
        <v>1772</v>
      </c>
      <c r="K354" s="247"/>
      <c r="L354" s="186">
        <v>44155</v>
      </c>
      <c r="M354" s="192">
        <v>3300000</v>
      </c>
    </row>
    <row r="355" spans="1:13" hidden="1" x14ac:dyDescent="0.25">
      <c r="A355" s="344"/>
      <c r="B355" s="344" t="s">
        <v>1777</v>
      </c>
      <c r="C355" s="344">
        <v>295</v>
      </c>
      <c r="D355" s="344"/>
      <c r="E355" s="190" t="s">
        <v>520</v>
      </c>
      <c r="F355" s="183" t="s">
        <v>1773</v>
      </c>
      <c r="G355" s="183" t="s">
        <v>1774</v>
      </c>
      <c r="H355" s="184">
        <v>201091007055</v>
      </c>
      <c r="I355" s="185" t="s">
        <v>1775</v>
      </c>
      <c r="J355" s="146" t="s">
        <v>1776</v>
      </c>
      <c r="K355" s="247"/>
      <c r="L355" s="186">
        <v>44155</v>
      </c>
      <c r="M355" s="192">
        <v>2800000</v>
      </c>
    </row>
    <row r="356" spans="1:13" hidden="1" x14ac:dyDescent="0.25">
      <c r="A356" s="344">
        <v>185</v>
      </c>
      <c r="B356" s="344" t="s">
        <v>1287</v>
      </c>
      <c r="C356" s="344">
        <v>296</v>
      </c>
      <c r="D356" s="344"/>
      <c r="E356" s="190" t="s">
        <v>87</v>
      </c>
      <c r="F356" s="183" t="s">
        <v>1778</v>
      </c>
      <c r="G356" s="183" t="s">
        <v>1779</v>
      </c>
      <c r="H356" s="184">
        <v>204211003899</v>
      </c>
      <c r="I356" s="185" t="s">
        <v>1780</v>
      </c>
      <c r="J356" s="146" t="s">
        <v>1781</v>
      </c>
      <c r="K356" s="247"/>
      <c r="L356" s="186">
        <v>44156</v>
      </c>
      <c r="M356" s="192">
        <v>2400000</v>
      </c>
    </row>
    <row r="357" spans="1:13" hidden="1" x14ac:dyDescent="0.25">
      <c r="A357" s="344">
        <v>229</v>
      </c>
      <c r="B357" s="344" t="s">
        <v>1686</v>
      </c>
      <c r="C357" s="344">
        <v>297</v>
      </c>
      <c r="D357" s="344" t="s">
        <v>1786</v>
      </c>
      <c r="E357" s="190" t="s">
        <v>87</v>
      </c>
      <c r="F357" s="183" t="s">
        <v>1782</v>
      </c>
      <c r="G357" s="183" t="s">
        <v>1783</v>
      </c>
      <c r="H357" s="184">
        <v>108011020517</v>
      </c>
      <c r="I357" s="185" t="s">
        <v>1784</v>
      </c>
      <c r="J357" s="146" t="s">
        <v>1785</v>
      </c>
      <c r="K357" s="247"/>
      <c r="L357" s="186">
        <v>44156</v>
      </c>
      <c r="M357" s="192">
        <v>2565000</v>
      </c>
    </row>
    <row r="358" spans="1:13" hidden="1" x14ac:dyDescent="0.25">
      <c r="A358" s="344">
        <v>233</v>
      </c>
      <c r="B358" s="344" t="s">
        <v>1685</v>
      </c>
      <c r="C358" s="344">
        <v>298</v>
      </c>
      <c r="D358" s="344"/>
      <c r="E358" s="190" t="s">
        <v>435</v>
      </c>
      <c r="F358" s="183" t="s">
        <v>1787</v>
      </c>
      <c r="G358" s="183" t="s">
        <v>1788</v>
      </c>
      <c r="H358" s="184">
        <v>117011029278</v>
      </c>
      <c r="I358" s="185" t="s">
        <v>1789</v>
      </c>
      <c r="J358" s="146" t="s">
        <v>1790</v>
      </c>
      <c r="K358" s="247"/>
      <c r="L358" s="186">
        <v>44156</v>
      </c>
      <c r="M358" s="192">
        <v>3400000</v>
      </c>
    </row>
    <row r="359" spans="1:13" hidden="1" x14ac:dyDescent="0.25">
      <c r="A359" s="344">
        <v>231</v>
      </c>
      <c r="B359" s="344" t="s">
        <v>1688</v>
      </c>
      <c r="C359" s="344">
        <v>299</v>
      </c>
      <c r="D359" s="344"/>
      <c r="E359" s="190" t="s">
        <v>87</v>
      </c>
      <c r="F359" s="183" t="s">
        <v>1791</v>
      </c>
      <c r="G359" s="183" t="s">
        <v>1792</v>
      </c>
      <c r="H359" s="184">
        <v>101982049192</v>
      </c>
      <c r="I359" s="185" t="s">
        <v>1793</v>
      </c>
      <c r="J359" s="146" t="s">
        <v>1794</v>
      </c>
      <c r="K359" s="247"/>
      <c r="L359" s="186">
        <v>44156</v>
      </c>
      <c r="M359" s="192">
        <v>2500000</v>
      </c>
    </row>
    <row r="360" spans="1:13" hidden="1" x14ac:dyDescent="0.25">
      <c r="A360" s="344">
        <v>208</v>
      </c>
      <c r="B360" s="344" t="s">
        <v>1665</v>
      </c>
      <c r="C360" s="344">
        <v>300</v>
      </c>
      <c r="D360" s="344"/>
      <c r="E360" s="190" t="s">
        <v>87</v>
      </c>
      <c r="F360" s="183" t="s">
        <v>994</v>
      </c>
      <c r="G360" s="183" t="s">
        <v>1795</v>
      </c>
      <c r="H360" s="184">
        <v>101231099557</v>
      </c>
      <c r="I360" s="185" t="s">
        <v>1796</v>
      </c>
      <c r="J360" s="146" t="s">
        <v>1797</v>
      </c>
      <c r="K360" s="247"/>
      <c r="L360" s="186">
        <v>44156</v>
      </c>
      <c r="M360" s="192">
        <v>3250000</v>
      </c>
    </row>
    <row r="361" spans="1:13" hidden="1" x14ac:dyDescent="0.25">
      <c r="A361" s="344">
        <v>223</v>
      </c>
      <c r="B361" s="344" t="s">
        <v>1680</v>
      </c>
      <c r="C361" s="344">
        <v>301</v>
      </c>
      <c r="D361" s="344"/>
      <c r="E361" s="190" t="s">
        <v>434</v>
      </c>
      <c r="F361" s="183" t="s">
        <v>1346</v>
      </c>
      <c r="G361" s="183" t="s">
        <v>1347</v>
      </c>
      <c r="H361" s="184">
        <v>101251124230</v>
      </c>
      <c r="I361" s="185" t="s">
        <v>1798</v>
      </c>
      <c r="J361" s="146" t="s">
        <v>1349</v>
      </c>
      <c r="K361" s="247"/>
      <c r="L361" s="186">
        <v>44156</v>
      </c>
      <c r="M361" s="192">
        <v>3800000</v>
      </c>
    </row>
    <row r="362" spans="1:13" hidden="1" x14ac:dyDescent="0.25">
      <c r="A362" s="344">
        <v>222</v>
      </c>
      <c r="B362" s="344" t="s">
        <v>1679</v>
      </c>
      <c r="C362" s="344">
        <v>302</v>
      </c>
      <c r="D362" s="344"/>
      <c r="E362" s="190" t="s">
        <v>87</v>
      </c>
      <c r="F362" s="183" t="s">
        <v>1799</v>
      </c>
      <c r="G362" s="183" t="s">
        <v>1800</v>
      </c>
      <c r="H362" s="184">
        <v>101981061186</v>
      </c>
      <c r="I362" s="185" t="s">
        <v>1801</v>
      </c>
      <c r="J362" s="146" t="s">
        <v>1802</v>
      </c>
      <c r="K362" s="247"/>
      <c r="L362" s="186">
        <v>44157</v>
      </c>
      <c r="M362" s="192">
        <v>2755000</v>
      </c>
    </row>
    <row r="363" spans="1:13" hidden="1" x14ac:dyDescent="0.25">
      <c r="A363" s="344">
        <v>225</v>
      </c>
      <c r="B363" s="344" t="s">
        <v>1682</v>
      </c>
      <c r="C363" s="344"/>
      <c r="D363" s="344" t="s">
        <v>1806</v>
      </c>
      <c r="E363" s="190" t="s">
        <v>87</v>
      </c>
      <c r="F363" s="183" t="s">
        <v>1803</v>
      </c>
      <c r="G363" s="183" t="s">
        <v>1804</v>
      </c>
      <c r="H363" s="184">
        <v>102091026718</v>
      </c>
      <c r="I363" s="185" t="s">
        <v>1805</v>
      </c>
      <c r="J363" s="146" t="s">
        <v>550</v>
      </c>
      <c r="K363" s="247"/>
      <c r="L363" s="186">
        <v>44150</v>
      </c>
      <c r="M363" s="192">
        <v>2500000</v>
      </c>
    </row>
    <row r="364" spans="1:13" hidden="1" x14ac:dyDescent="0.25">
      <c r="A364" s="344">
        <v>224</v>
      </c>
      <c r="B364" s="344" t="s">
        <v>1681</v>
      </c>
      <c r="C364" s="344"/>
      <c r="D364" s="344" t="s">
        <v>1808</v>
      </c>
      <c r="E364" s="190" t="s">
        <v>87</v>
      </c>
      <c r="F364" s="183" t="s">
        <v>1310</v>
      </c>
      <c r="G364" s="183" t="s">
        <v>1809</v>
      </c>
      <c r="H364" s="184">
        <v>101231163671</v>
      </c>
      <c r="I364" s="185" t="s">
        <v>1807</v>
      </c>
      <c r="J364" s="146" t="s">
        <v>1313</v>
      </c>
      <c r="K364" s="247"/>
      <c r="L364" s="186">
        <v>44150</v>
      </c>
      <c r="M364" s="192"/>
    </row>
    <row r="365" spans="1:13" hidden="1" x14ac:dyDescent="0.25">
      <c r="A365" s="344">
        <v>206</v>
      </c>
      <c r="B365" s="344" t="s">
        <v>1663</v>
      </c>
      <c r="C365" s="344"/>
      <c r="D365" s="344" t="s">
        <v>1810</v>
      </c>
      <c r="E365" s="190" t="s">
        <v>87</v>
      </c>
      <c r="F365" s="183" t="s">
        <v>1310</v>
      </c>
      <c r="G365" s="183" t="s">
        <v>1809</v>
      </c>
      <c r="H365" s="184">
        <v>101231163671</v>
      </c>
      <c r="I365" s="185" t="s">
        <v>1807</v>
      </c>
      <c r="J365" s="146" t="s">
        <v>1313</v>
      </c>
      <c r="K365" s="247"/>
      <c r="L365" s="186">
        <v>44150</v>
      </c>
      <c r="M365" s="192">
        <v>3150000</v>
      </c>
    </row>
    <row r="366" spans="1:13" hidden="1" x14ac:dyDescent="0.25">
      <c r="A366" s="344">
        <v>235</v>
      </c>
      <c r="B366" s="344" t="s">
        <v>1692</v>
      </c>
      <c r="C366" s="344"/>
      <c r="D366" s="344" t="s">
        <v>1814</v>
      </c>
      <c r="E366" s="190" t="s">
        <v>434</v>
      </c>
      <c r="F366" s="183" t="s">
        <v>1811</v>
      </c>
      <c r="G366" s="183" t="s">
        <v>2059</v>
      </c>
      <c r="H366" s="184">
        <v>101251116545</v>
      </c>
      <c r="I366" s="185" t="s">
        <v>1812</v>
      </c>
      <c r="J366" s="146" t="s">
        <v>1813</v>
      </c>
      <c r="K366" s="247"/>
      <c r="L366" s="186">
        <v>44150</v>
      </c>
      <c r="M366" s="192">
        <v>3500000</v>
      </c>
    </row>
    <row r="367" spans="1:13" hidden="1" x14ac:dyDescent="0.25">
      <c r="A367" s="344">
        <v>211</v>
      </c>
      <c r="B367" s="344" t="s">
        <v>1668</v>
      </c>
      <c r="C367" s="344"/>
      <c r="D367" s="344" t="s">
        <v>1818</v>
      </c>
      <c r="E367" s="190" t="s">
        <v>87</v>
      </c>
      <c r="F367" s="183" t="s">
        <v>1773</v>
      </c>
      <c r="G367" s="183" t="s">
        <v>1815</v>
      </c>
      <c r="H367" s="184">
        <v>312071014626</v>
      </c>
      <c r="I367" s="185" t="s">
        <v>1816</v>
      </c>
      <c r="J367" s="146" t="s">
        <v>1817</v>
      </c>
      <c r="K367" s="247"/>
      <c r="L367" s="186">
        <v>44150</v>
      </c>
      <c r="M367" s="192">
        <v>2600000</v>
      </c>
    </row>
    <row r="368" spans="1:13" hidden="1" x14ac:dyDescent="0.25">
      <c r="A368" s="344">
        <v>214</v>
      </c>
      <c r="B368" s="344" t="s">
        <v>1671</v>
      </c>
      <c r="C368" s="344"/>
      <c r="D368" s="344" t="s">
        <v>1823</v>
      </c>
      <c r="E368" s="190" t="s">
        <v>87</v>
      </c>
      <c r="F368" s="183" t="s">
        <v>1819</v>
      </c>
      <c r="G368" s="183" t="s">
        <v>1820</v>
      </c>
      <c r="H368" s="184">
        <v>117011038789</v>
      </c>
      <c r="I368" s="185" t="s">
        <v>1821</v>
      </c>
      <c r="J368" s="146" t="s">
        <v>1822</v>
      </c>
      <c r="K368" s="247"/>
      <c r="L368" s="186">
        <v>44154</v>
      </c>
      <c r="M368" s="192">
        <v>2500000</v>
      </c>
    </row>
    <row r="369" spans="1:13" hidden="1" x14ac:dyDescent="0.25">
      <c r="A369" s="344">
        <v>216</v>
      </c>
      <c r="B369" s="344" t="s">
        <v>1673</v>
      </c>
      <c r="C369" s="344"/>
      <c r="D369" s="344" t="s">
        <v>1825</v>
      </c>
      <c r="E369" s="190" t="s">
        <v>1824</v>
      </c>
      <c r="F369" s="183" t="s">
        <v>92</v>
      </c>
      <c r="G369" s="183" t="s">
        <v>93</v>
      </c>
      <c r="H369" s="184">
        <v>110051004731</v>
      </c>
      <c r="I369" s="185" t="s">
        <v>94</v>
      </c>
      <c r="J369" s="193" t="s">
        <v>348</v>
      </c>
      <c r="K369" s="247"/>
      <c r="L369" s="186">
        <v>44156</v>
      </c>
      <c r="M369" s="192">
        <v>3500000</v>
      </c>
    </row>
    <row r="370" spans="1:13" hidden="1" x14ac:dyDescent="0.25">
      <c r="A370" s="344">
        <v>211</v>
      </c>
      <c r="B370" s="344" t="s">
        <v>1668</v>
      </c>
      <c r="C370" s="344">
        <v>303</v>
      </c>
      <c r="D370" s="344" t="s">
        <v>1818</v>
      </c>
      <c r="E370" s="190" t="s">
        <v>87</v>
      </c>
      <c r="F370" s="183" t="s">
        <v>1826</v>
      </c>
      <c r="G370" s="183" t="s">
        <v>1827</v>
      </c>
      <c r="H370" s="184">
        <v>105011011559</v>
      </c>
      <c r="I370" s="185" t="s">
        <v>1828</v>
      </c>
      <c r="J370" s="146" t="s">
        <v>1829</v>
      </c>
      <c r="K370" s="247"/>
      <c r="L370" s="186">
        <v>44160</v>
      </c>
      <c r="M370" s="192">
        <v>2600000</v>
      </c>
    </row>
    <row r="371" spans="1:13" hidden="1" x14ac:dyDescent="0.25">
      <c r="A371" s="344">
        <v>209</v>
      </c>
      <c r="B371" s="344" t="s">
        <v>1666</v>
      </c>
      <c r="C371" s="344">
        <v>304</v>
      </c>
      <c r="D371" s="344"/>
      <c r="E371" s="190" t="s">
        <v>87</v>
      </c>
      <c r="F371" s="183" t="s">
        <v>1831</v>
      </c>
      <c r="G371" s="183" t="s">
        <v>1830</v>
      </c>
      <c r="H371" s="184">
        <v>204051006172</v>
      </c>
      <c r="I371" s="185" t="s">
        <v>1832</v>
      </c>
      <c r="J371" s="146" t="s">
        <v>1833</v>
      </c>
      <c r="K371" s="247"/>
      <c r="L371" s="186">
        <v>44160</v>
      </c>
      <c r="M371" s="192">
        <v>3500000</v>
      </c>
    </row>
    <row r="372" spans="1:13" hidden="1" x14ac:dyDescent="0.25">
      <c r="A372" s="344">
        <v>214</v>
      </c>
      <c r="B372" s="344" t="s">
        <v>1671</v>
      </c>
      <c r="C372" s="344">
        <v>305</v>
      </c>
      <c r="D372" s="344"/>
      <c r="E372" s="190" t="s">
        <v>87</v>
      </c>
      <c r="F372" s="183" t="s">
        <v>1834</v>
      </c>
      <c r="G372" s="183" t="s">
        <v>1835</v>
      </c>
      <c r="H372" s="184">
        <v>117351005520</v>
      </c>
      <c r="I372" s="185" t="s">
        <v>1836</v>
      </c>
      <c r="J372" s="146" t="s">
        <v>1837</v>
      </c>
      <c r="K372" s="247"/>
      <c r="L372" s="186">
        <v>44160</v>
      </c>
      <c r="M372" s="192">
        <v>2500000</v>
      </c>
    </row>
    <row r="373" spans="1:13" hidden="1" x14ac:dyDescent="0.25">
      <c r="A373" s="344">
        <v>199</v>
      </c>
      <c r="B373" s="344" t="s">
        <v>1301</v>
      </c>
      <c r="C373" s="344" t="s">
        <v>1868</v>
      </c>
      <c r="D373" s="344"/>
      <c r="E373" s="190" t="s">
        <v>1568</v>
      </c>
      <c r="F373" s="183" t="s">
        <v>1869</v>
      </c>
      <c r="G373" s="183" t="s">
        <v>1344</v>
      </c>
      <c r="H373" s="184">
        <v>115031002467</v>
      </c>
      <c r="I373" s="185" t="s">
        <v>1870</v>
      </c>
      <c r="J373" s="146" t="s">
        <v>1871</v>
      </c>
      <c r="K373" s="247"/>
      <c r="L373" s="186">
        <v>44161</v>
      </c>
      <c r="M373" s="192">
        <v>8000000</v>
      </c>
    </row>
    <row r="374" spans="1:13" hidden="1" x14ac:dyDescent="0.25">
      <c r="A374" s="344">
        <v>192</v>
      </c>
      <c r="B374" s="344" t="s">
        <v>1294</v>
      </c>
      <c r="C374" s="344"/>
      <c r="D374" s="344" t="s">
        <v>1872</v>
      </c>
      <c r="E374" s="190" t="s">
        <v>1536</v>
      </c>
      <c r="F374" s="183" t="s">
        <v>1873</v>
      </c>
      <c r="G374" s="183" t="s">
        <v>1874</v>
      </c>
      <c r="H374" s="184">
        <v>117071019919</v>
      </c>
      <c r="I374" s="185" t="s">
        <v>1554</v>
      </c>
      <c r="J374" s="146" t="s">
        <v>1555</v>
      </c>
      <c r="K374" s="247"/>
      <c r="L374" s="186">
        <v>44162</v>
      </c>
      <c r="M374" s="192">
        <v>4250000</v>
      </c>
    </row>
    <row r="375" spans="1:13" hidden="1" x14ac:dyDescent="0.25">
      <c r="A375" s="344">
        <v>218</v>
      </c>
      <c r="B375" s="344" t="s">
        <v>1675</v>
      </c>
      <c r="C375" s="344">
        <v>307</v>
      </c>
      <c r="D375" s="344"/>
      <c r="E375" s="190" t="s">
        <v>1841</v>
      </c>
      <c r="F375" s="183" t="s">
        <v>1006</v>
      </c>
      <c r="G375" s="168" t="s">
        <v>1876</v>
      </c>
      <c r="H375" s="183" t="s">
        <v>1875</v>
      </c>
      <c r="I375" s="185" t="s">
        <v>1877</v>
      </c>
      <c r="J375" s="146" t="s">
        <v>1878</v>
      </c>
      <c r="K375" s="247"/>
      <c r="L375" s="186">
        <v>44165</v>
      </c>
      <c r="M375" s="192">
        <v>3300000</v>
      </c>
    </row>
    <row r="376" spans="1:13" hidden="1" x14ac:dyDescent="0.25">
      <c r="A376" s="344">
        <v>213</v>
      </c>
      <c r="B376" s="344" t="s">
        <v>1670</v>
      </c>
      <c r="C376" s="344">
        <v>308</v>
      </c>
      <c r="D376" s="344"/>
      <c r="E376" s="190" t="s">
        <v>434</v>
      </c>
      <c r="F376" s="183" t="s">
        <v>1160</v>
      </c>
      <c r="G376" s="183" t="s">
        <v>1879</v>
      </c>
      <c r="H376" s="184">
        <v>117012018166</v>
      </c>
      <c r="I376" s="185" t="s">
        <v>1880</v>
      </c>
      <c r="J376" s="146" t="s">
        <v>1881</v>
      </c>
      <c r="K376" s="247"/>
      <c r="L376" s="186">
        <v>44168</v>
      </c>
      <c r="M376" s="192">
        <v>3250000</v>
      </c>
    </row>
    <row r="377" spans="1:13" hidden="1" x14ac:dyDescent="0.25">
      <c r="A377" s="344">
        <v>216</v>
      </c>
      <c r="B377" s="344" t="s">
        <v>1673</v>
      </c>
      <c r="C377" s="344">
        <v>309</v>
      </c>
      <c r="D377" s="344"/>
      <c r="E377" s="190" t="s">
        <v>434</v>
      </c>
      <c r="F377" s="183" t="s">
        <v>1882</v>
      </c>
      <c r="G377" s="183" t="s">
        <v>1883</v>
      </c>
      <c r="H377" s="184">
        <v>101231139724</v>
      </c>
      <c r="I377" s="185" t="s">
        <v>1884</v>
      </c>
      <c r="J377" s="146" t="s">
        <v>1885</v>
      </c>
      <c r="K377" s="247"/>
      <c r="L377" s="186">
        <v>44169</v>
      </c>
      <c r="M377" s="192">
        <v>3500000</v>
      </c>
    </row>
    <row r="378" spans="1:13" hidden="1" x14ac:dyDescent="0.25">
      <c r="A378" s="344">
        <v>246</v>
      </c>
      <c r="B378" s="344" t="s">
        <v>1849</v>
      </c>
      <c r="C378" s="344">
        <v>310</v>
      </c>
      <c r="D378" s="344"/>
      <c r="E378" s="190" t="s">
        <v>87</v>
      </c>
      <c r="F378" s="183" t="s">
        <v>1886</v>
      </c>
      <c r="G378" s="183" t="s">
        <v>1887</v>
      </c>
      <c r="H378" s="184">
        <v>103011004893</v>
      </c>
      <c r="I378" s="185" t="s">
        <v>1888</v>
      </c>
      <c r="J378" s="146" t="s">
        <v>1889</v>
      </c>
      <c r="K378" s="247"/>
      <c r="L378" s="186">
        <v>44170</v>
      </c>
      <c r="M378" s="192">
        <v>2450000</v>
      </c>
    </row>
    <row r="379" spans="1:13" hidden="1" x14ac:dyDescent="0.25">
      <c r="A379" s="344">
        <v>246</v>
      </c>
      <c r="B379" s="344" t="s">
        <v>1849</v>
      </c>
      <c r="C379" s="344">
        <v>310</v>
      </c>
      <c r="D379" s="344"/>
      <c r="E379" s="190" t="s">
        <v>87</v>
      </c>
      <c r="F379" s="183" t="s">
        <v>1962</v>
      </c>
      <c r="G379" s="183" t="s">
        <v>1963</v>
      </c>
      <c r="H379" s="184">
        <v>117032016672</v>
      </c>
      <c r="I379" s="185" t="s">
        <v>1964</v>
      </c>
      <c r="J379" s="146" t="s">
        <v>1965</v>
      </c>
      <c r="K379" s="247"/>
      <c r="L379" s="186">
        <v>44170</v>
      </c>
      <c r="M379" s="192">
        <v>2450000</v>
      </c>
    </row>
    <row r="380" spans="1:13" hidden="1" x14ac:dyDescent="0.25">
      <c r="A380" s="344">
        <v>249</v>
      </c>
      <c r="B380" s="344" t="s">
        <v>1852</v>
      </c>
      <c r="C380" s="344">
        <v>311</v>
      </c>
      <c r="D380" s="344"/>
      <c r="E380" s="190" t="s">
        <v>434</v>
      </c>
      <c r="F380" s="183" t="s">
        <v>1890</v>
      </c>
      <c r="G380" s="183" t="s">
        <v>1891</v>
      </c>
      <c r="H380" s="184"/>
      <c r="I380" s="185" t="s">
        <v>1892</v>
      </c>
      <c r="J380" s="146" t="s">
        <v>1893</v>
      </c>
      <c r="K380" s="247"/>
      <c r="L380" s="186">
        <v>44170</v>
      </c>
      <c r="M380" s="192">
        <v>3820000</v>
      </c>
    </row>
    <row r="381" spans="1:13" hidden="1" x14ac:dyDescent="0.25">
      <c r="A381" s="344">
        <v>255</v>
      </c>
      <c r="B381" s="344" t="s">
        <v>1858</v>
      </c>
      <c r="C381" s="344">
        <v>312</v>
      </c>
      <c r="D381" s="344"/>
      <c r="E381" s="190" t="s">
        <v>434</v>
      </c>
      <c r="F381" s="183" t="s">
        <v>1894</v>
      </c>
      <c r="G381" s="183" t="s">
        <v>1895</v>
      </c>
      <c r="H381" s="184">
        <v>101231170599</v>
      </c>
      <c r="I381" s="185" t="s">
        <v>1896</v>
      </c>
      <c r="J381" s="146" t="s">
        <v>1897</v>
      </c>
      <c r="K381" s="247"/>
      <c r="L381" s="186">
        <v>44170</v>
      </c>
      <c r="M381" s="192">
        <v>3600000</v>
      </c>
    </row>
    <row r="382" spans="1:13" hidden="1" x14ac:dyDescent="0.25">
      <c r="A382" s="344">
        <v>237</v>
      </c>
      <c r="B382" s="344" t="s">
        <v>1839</v>
      </c>
      <c r="C382" s="344">
        <v>313</v>
      </c>
      <c r="D382" s="344"/>
      <c r="E382" s="190" t="s">
        <v>87</v>
      </c>
      <c r="F382" s="183" t="s">
        <v>63</v>
      </c>
      <c r="G382" s="183" t="s">
        <v>1898</v>
      </c>
      <c r="H382" s="184"/>
      <c r="I382" s="185" t="s">
        <v>1899</v>
      </c>
      <c r="J382" s="146" t="s">
        <v>1900</v>
      </c>
      <c r="K382" s="247"/>
      <c r="L382" s="186">
        <v>44170</v>
      </c>
      <c r="M382" s="192">
        <v>3000000</v>
      </c>
    </row>
    <row r="383" spans="1:13" hidden="1" x14ac:dyDescent="0.25">
      <c r="A383" s="344">
        <v>257</v>
      </c>
      <c r="B383" s="344" t="s">
        <v>1860</v>
      </c>
      <c r="C383" s="344"/>
      <c r="D383" s="344" t="s">
        <v>1901</v>
      </c>
      <c r="E383" s="190" t="s">
        <v>87</v>
      </c>
      <c r="F383" s="183" t="s">
        <v>1902</v>
      </c>
      <c r="G383" s="183" t="s">
        <v>1903</v>
      </c>
      <c r="H383" s="184">
        <v>316011013614</v>
      </c>
      <c r="I383" s="185" t="s">
        <v>1904</v>
      </c>
      <c r="J383" s="146" t="s">
        <v>1905</v>
      </c>
      <c r="K383" s="247"/>
      <c r="L383" s="186">
        <v>44170</v>
      </c>
      <c r="M383" s="192">
        <v>2600000</v>
      </c>
    </row>
    <row r="384" spans="1:13" hidden="1" x14ac:dyDescent="0.25">
      <c r="A384" s="344">
        <v>259</v>
      </c>
      <c r="B384" s="344" t="s">
        <v>1862</v>
      </c>
      <c r="C384" s="344"/>
      <c r="D384" s="344" t="s">
        <v>1906</v>
      </c>
      <c r="E384" s="190" t="s">
        <v>87</v>
      </c>
      <c r="F384" s="183" t="s">
        <v>1907</v>
      </c>
      <c r="G384" s="183" t="s">
        <v>1908</v>
      </c>
      <c r="H384" s="184">
        <v>101231110934</v>
      </c>
      <c r="I384" s="185" t="s">
        <v>1909</v>
      </c>
      <c r="J384" s="146" t="s">
        <v>1910</v>
      </c>
      <c r="K384" s="247"/>
      <c r="L384" s="186">
        <v>44170</v>
      </c>
      <c r="M384" s="192"/>
    </row>
    <row r="385" spans="1:13" hidden="1" x14ac:dyDescent="0.25">
      <c r="A385" s="344">
        <v>241</v>
      </c>
      <c r="B385" s="344" t="s">
        <v>1844</v>
      </c>
      <c r="C385" s="344"/>
      <c r="D385" s="344" t="s">
        <v>1911</v>
      </c>
      <c r="E385" s="190" t="s">
        <v>87</v>
      </c>
      <c r="F385" s="183" t="s">
        <v>206</v>
      </c>
      <c r="G385" s="183" t="s">
        <v>1912</v>
      </c>
      <c r="H385" s="184">
        <v>101211210115</v>
      </c>
      <c r="I385" s="185" t="s">
        <v>1913</v>
      </c>
      <c r="J385" s="146" t="s">
        <v>1914</v>
      </c>
      <c r="K385" s="247"/>
      <c r="L385" s="186">
        <v>44170</v>
      </c>
      <c r="M385" s="192">
        <v>3250000</v>
      </c>
    </row>
    <row r="386" spans="1:13" hidden="1" x14ac:dyDescent="0.25">
      <c r="A386" s="344">
        <v>247</v>
      </c>
      <c r="B386" s="344" t="s">
        <v>1850</v>
      </c>
      <c r="C386" s="344"/>
      <c r="D386" s="344" t="s">
        <v>1915</v>
      </c>
      <c r="E386" s="190" t="s">
        <v>87</v>
      </c>
      <c r="F386" s="183" t="s">
        <v>544</v>
      </c>
      <c r="G386" s="183" t="s">
        <v>1916</v>
      </c>
      <c r="H386" s="184">
        <v>101231176459</v>
      </c>
      <c r="I386" s="185" t="s">
        <v>1917</v>
      </c>
      <c r="J386" s="146" t="s">
        <v>1918</v>
      </c>
      <c r="K386" s="247"/>
      <c r="L386" s="186">
        <v>44170</v>
      </c>
      <c r="M386" s="192">
        <v>2700000</v>
      </c>
    </row>
    <row r="387" spans="1:13" hidden="1" x14ac:dyDescent="0.25">
      <c r="A387" s="344">
        <v>239</v>
      </c>
      <c r="B387" s="344" t="s">
        <v>1842</v>
      </c>
      <c r="C387" s="344"/>
      <c r="D387" s="344" t="s">
        <v>1919</v>
      </c>
      <c r="E387" s="190" t="s">
        <v>435</v>
      </c>
      <c r="F387" s="183" t="s">
        <v>1920</v>
      </c>
      <c r="G387" s="183" t="s">
        <v>93</v>
      </c>
      <c r="H387" s="184">
        <v>110051004731</v>
      </c>
      <c r="I387" s="185" t="s">
        <v>94</v>
      </c>
      <c r="J387" s="146" t="s">
        <v>325</v>
      </c>
      <c r="K387" s="247"/>
      <c r="L387" s="186">
        <v>44170</v>
      </c>
      <c r="M387" s="192"/>
    </row>
    <row r="388" spans="1:13" hidden="1" x14ac:dyDescent="0.25">
      <c r="A388" s="344">
        <v>252</v>
      </c>
      <c r="B388" s="344" t="s">
        <v>1855</v>
      </c>
      <c r="C388" s="344"/>
      <c r="D388" s="344" t="s">
        <v>1921</v>
      </c>
      <c r="E388" s="190" t="s">
        <v>87</v>
      </c>
      <c r="F388" s="183" t="s">
        <v>1920</v>
      </c>
      <c r="G388" s="183" t="s">
        <v>93</v>
      </c>
      <c r="H388" s="184">
        <v>110051004731</v>
      </c>
      <c r="I388" s="185" t="s">
        <v>94</v>
      </c>
      <c r="J388" s="146" t="s">
        <v>1922</v>
      </c>
      <c r="K388" s="247"/>
      <c r="L388" s="186">
        <v>44170</v>
      </c>
      <c r="M388" s="192">
        <v>3400000</v>
      </c>
    </row>
    <row r="389" spans="1:13" hidden="1" x14ac:dyDescent="0.25">
      <c r="A389" s="344">
        <v>238</v>
      </c>
      <c r="B389" s="344" t="s">
        <v>1840</v>
      </c>
      <c r="C389" s="344"/>
      <c r="D389" s="344" t="s">
        <v>1923</v>
      </c>
      <c r="E389" s="190" t="s">
        <v>87</v>
      </c>
      <c r="F389" s="183" t="s">
        <v>1924</v>
      </c>
      <c r="G389" s="183" t="s">
        <v>1925</v>
      </c>
      <c r="H389" s="184">
        <v>715031020339</v>
      </c>
      <c r="I389" s="185" t="s">
        <v>1926</v>
      </c>
      <c r="J389" s="146" t="s">
        <v>1927</v>
      </c>
      <c r="K389" s="247"/>
      <c r="L389" s="186">
        <v>44170</v>
      </c>
      <c r="M389" s="192">
        <v>3000000</v>
      </c>
    </row>
    <row r="390" spans="1:13" hidden="1" x14ac:dyDescent="0.25">
      <c r="A390" s="344">
        <v>243</v>
      </c>
      <c r="B390" s="344" t="s">
        <v>1846</v>
      </c>
      <c r="C390" s="344"/>
      <c r="D390" s="344" t="s">
        <v>1929</v>
      </c>
      <c r="E390" s="190" t="s">
        <v>434</v>
      </c>
      <c r="F390" s="183" t="s">
        <v>1920</v>
      </c>
      <c r="G390" s="183" t="s">
        <v>93</v>
      </c>
      <c r="H390" s="184">
        <v>110051004731</v>
      </c>
      <c r="I390" s="185" t="s">
        <v>94</v>
      </c>
      <c r="J390" s="146" t="s">
        <v>1922</v>
      </c>
      <c r="K390" s="247"/>
      <c r="L390" s="186">
        <v>44173</v>
      </c>
      <c r="M390" s="192"/>
    </row>
    <row r="391" spans="1:13" hidden="1" x14ac:dyDescent="0.25">
      <c r="A391" s="344">
        <v>254</v>
      </c>
      <c r="B391" s="344" t="s">
        <v>1857</v>
      </c>
      <c r="C391" s="344">
        <v>314</v>
      </c>
      <c r="D391" s="344"/>
      <c r="E391" s="190" t="s">
        <v>434</v>
      </c>
      <c r="F391" s="183" t="s">
        <v>1930</v>
      </c>
      <c r="G391" s="183" t="s">
        <v>1931</v>
      </c>
      <c r="H391" s="184">
        <v>101242127104</v>
      </c>
      <c r="I391" s="185" t="s">
        <v>1932</v>
      </c>
      <c r="J391" s="146" t="s">
        <v>1933</v>
      </c>
      <c r="K391" s="247"/>
      <c r="L391" s="186">
        <v>44172</v>
      </c>
      <c r="M391" s="192">
        <v>3580000</v>
      </c>
    </row>
    <row r="392" spans="1:13" hidden="1" x14ac:dyDescent="0.25">
      <c r="A392" s="344">
        <v>245</v>
      </c>
      <c r="B392" s="344" t="s">
        <v>1848</v>
      </c>
      <c r="C392" s="344">
        <v>315</v>
      </c>
      <c r="D392" s="344"/>
      <c r="E392" s="190" t="s">
        <v>434</v>
      </c>
      <c r="F392" s="183" t="s">
        <v>1934</v>
      </c>
      <c r="G392" s="183" t="s">
        <v>1935</v>
      </c>
      <c r="H392" s="184">
        <v>101251040827</v>
      </c>
      <c r="I392" s="185" t="s">
        <v>1936</v>
      </c>
      <c r="J392" s="146" t="s">
        <v>1937</v>
      </c>
      <c r="K392" s="247"/>
      <c r="L392" s="186">
        <v>44172</v>
      </c>
      <c r="M392" s="192">
        <v>4000000</v>
      </c>
    </row>
    <row r="393" spans="1:13" hidden="1" x14ac:dyDescent="0.25">
      <c r="A393" s="344"/>
      <c r="B393" s="344" t="s">
        <v>1842</v>
      </c>
      <c r="C393" s="344">
        <v>316</v>
      </c>
      <c r="D393" s="344"/>
      <c r="E393" s="190" t="s">
        <v>434</v>
      </c>
      <c r="F393" s="183" t="s">
        <v>1938</v>
      </c>
      <c r="G393" s="183" t="s">
        <v>1939</v>
      </c>
      <c r="H393" s="184">
        <v>101211191064</v>
      </c>
      <c r="I393" s="185" t="s">
        <v>1940</v>
      </c>
      <c r="J393" s="146" t="s">
        <v>1941</v>
      </c>
      <c r="K393" s="247"/>
      <c r="L393" s="186">
        <v>44173</v>
      </c>
      <c r="M393" s="192"/>
    </row>
    <row r="394" spans="1:13" hidden="1" x14ac:dyDescent="0.25">
      <c r="A394" s="344">
        <v>258</v>
      </c>
      <c r="B394" s="344" t="s">
        <v>1861</v>
      </c>
      <c r="C394" s="344">
        <v>317</v>
      </c>
      <c r="D394" s="344"/>
      <c r="E394" s="190" t="s">
        <v>435</v>
      </c>
      <c r="F394" s="183" t="s">
        <v>1942</v>
      </c>
      <c r="G394" s="183" t="s">
        <v>1943</v>
      </c>
      <c r="H394" s="184">
        <v>108071021781</v>
      </c>
      <c r="I394" s="185" t="s">
        <v>1944</v>
      </c>
      <c r="J394" s="146" t="s">
        <v>1945</v>
      </c>
      <c r="K394" s="247"/>
      <c r="L394" s="186">
        <v>44173</v>
      </c>
      <c r="M394" s="192">
        <v>3400000</v>
      </c>
    </row>
    <row r="395" spans="1:13" hidden="1" x14ac:dyDescent="0.25">
      <c r="A395" s="344">
        <v>256</v>
      </c>
      <c r="B395" s="344" t="s">
        <v>1859</v>
      </c>
      <c r="C395" s="344">
        <v>318</v>
      </c>
      <c r="D395" s="344"/>
      <c r="E395" s="190" t="s">
        <v>435</v>
      </c>
      <c r="F395" s="183" t="s">
        <v>1946</v>
      </c>
      <c r="G395" s="183" t="s">
        <v>1947</v>
      </c>
      <c r="H395" s="184">
        <v>101251217623</v>
      </c>
      <c r="I395" s="185" t="s">
        <v>1948</v>
      </c>
      <c r="J395" s="146" t="s">
        <v>1949</v>
      </c>
      <c r="K395" s="247"/>
      <c r="L395" s="186">
        <v>44173</v>
      </c>
      <c r="M395" s="192">
        <v>3200000</v>
      </c>
    </row>
    <row r="396" spans="1:13" hidden="1" x14ac:dyDescent="0.25">
      <c r="A396" s="344">
        <v>250</v>
      </c>
      <c r="B396" s="344" t="s">
        <v>1853</v>
      </c>
      <c r="C396" s="344">
        <v>319</v>
      </c>
      <c r="D396" s="344"/>
      <c r="E396" s="190" t="s">
        <v>434</v>
      </c>
      <c r="F396" s="183" t="s">
        <v>1628</v>
      </c>
      <c r="G396" s="183" t="s">
        <v>1950</v>
      </c>
      <c r="H396" s="184">
        <v>201031025038</v>
      </c>
      <c r="I396" s="185" t="s">
        <v>1951</v>
      </c>
      <c r="J396" s="146" t="s">
        <v>1952</v>
      </c>
      <c r="K396" s="247"/>
      <c r="L396" s="186">
        <v>44174</v>
      </c>
      <c r="M396" s="192">
        <v>3200000</v>
      </c>
    </row>
    <row r="397" spans="1:13" hidden="1" x14ac:dyDescent="0.25">
      <c r="A397" s="344">
        <v>248</v>
      </c>
      <c r="B397" s="344" t="s">
        <v>1851</v>
      </c>
      <c r="C397" s="344">
        <v>320</v>
      </c>
      <c r="D397" s="344"/>
      <c r="E397" s="190" t="s">
        <v>87</v>
      </c>
      <c r="F397" s="183" t="s">
        <v>1953</v>
      </c>
      <c r="G397" s="183" t="s">
        <v>1954</v>
      </c>
      <c r="H397" s="184">
        <v>101251216896</v>
      </c>
      <c r="I397" s="185" t="s">
        <v>1955</v>
      </c>
      <c r="J397" s="146" t="s">
        <v>1956</v>
      </c>
      <c r="K397" s="247"/>
      <c r="L397" s="186">
        <v>44174</v>
      </c>
      <c r="M397" s="192">
        <v>2400000</v>
      </c>
    </row>
    <row r="398" spans="1:13" hidden="1" x14ac:dyDescent="0.25">
      <c r="A398" s="344">
        <v>236</v>
      </c>
      <c r="B398" s="344" t="s">
        <v>1263</v>
      </c>
      <c r="C398" s="344">
        <v>321</v>
      </c>
      <c r="D398" s="344"/>
      <c r="E398" s="190" t="s">
        <v>87</v>
      </c>
      <c r="F398" s="183" t="s">
        <v>1957</v>
      </c>
      <c r="G398" s="183" t="s">
        <v>1958</v>
      </c>
      <c r="H398" s="184">
        <v>305992009908</v>
      </c>
      <c r="I398" s="185" t="s">
        <v>1959</v>
      </c>
      <c r="J398" s="146" t="s">
        <v>1960</v>
      </c>
      <c r="K398" s="247"/>
      <c r="L398" s="186">
        <v>44175</v>
      </c>
      <c r="M398" s="192">
        <v>2700000</v>
      </c>
    </row>
    <row r="399" spans="1:13" hidden="1" x14ac:dyDescent="0.25">
      <c r="A399" s="344">
        <v>242</v>
      </c>
      <c r="B399" s="344" t="s">
        <v>1845</v>
      </c>
      <c r="C399" s="344">
        <v>322</v>
      </c>
      <c r="D399" s="344"/>
      <c r="E399" s="190" t="s">
        <v>434</v>
      </c>
      <c r="F399" s="183" t="s">
        <v>1966</v>
      </c>
      <c r="G399" s="183" t="s">
        <v>1967</v>
      </c>
      <c r="H399" s="184">
        <v>101231133127</v>
      </c>
      <c r="I399" s="185" t="s">
        <v>1968</v>
      </c>
      <c r="J399" s="146" t="s">
        <v>1969</v>
      </c>
      <c r="K399" s="247"/>
      <c r="L399" s="186">
        <v>44175</v>
      </c>
      <c r="M399" s="192">
        <v>3480000</v>
      </c>
    </row>
    <row r="400" spans="1:13" hidden="1" x14ac:dyDescent="0.25">
      <c r="A400" s="344">
        <v>240</v>
      </c>
      <c r="B400" s="344" t="s">
        <v>1843</v>
      </c>
      <c r="C400" s="344">
        <v>323</v>
      </c>
      <c r="D400" s="344"/>
      <c r="E400" s="190" t="s">
        <v>434</v>
      </c>
      <c r="F400" s="183" t="s">
        <v>1545</v>
      </c>
      <c r="G400" s="183" t="s">
        <v>1970</v>
      </c>
      <c r="H400" s="184">
        <v>101231142601</v>
      </c>
      <c r="I400" s="185" t="s">
        <v>1971</v>
      </c>
      <c r="J400" s="146" t="s">
        <v>1972</v>
      </c>
      <c r="K400" s="247"/>
      <c r="L400" s="186">
        <v>44176</v>
      </c>
      <c r="M400" s="192">
        <v>3300000</v>
      </c>
    </row>
    <row r="401" spans="1:13" hidden="1" x14ac:dyDescent="0.25">
      <c r="A401" s="344">
        <v>257</v>
      </c>
      <c r="B401" s="344" t="s">
        <v>1860</v>
      </c>
      <c r="C401" s="344">
        <v>324</v>
      </c>
      <c r="D401" s="344"/>
      <c r="E401" s="190" t="s">
        <v>87</v>
      </c>
      <c r="F401" s="183" t="s">
        <v>1973</v>
      </c>
      <c r="G401" s="183" t="s">
        <v>1974</v>
      </c>
      <c r="H401" s="184">
        <v>401031041311</v>
      </c>
      <c r="I401" s="185" t="s">
        <v>1975</v>
      </c>
      <c r="J401" s="146" t="s">
        <v>1976</v>
      </c>
      <c r="K401" s="247"/>
      <c r="L401" s="186">
        <v>44177</v>
      </c>
      <c r="M401" s="192">
        <v>2600000</v>
      </c>
    </row>
    <row r="402" spans="1:13" hidden="1" x14ac:dyDescent="0.25">
      <c r="A402" s="344">
        <v>244</v>
      </c>
      <c r="B402" s="344" t="s">
        <v>1847</v>
      </c>
      <c r="C402" s="344">
        <v>325</v>
      </c>
      <c r="D402" s="344"/>
      <c r="E402" s="190" t="s">
        <v>434</v>
      </c>
      <c r="F402" s="183" t="s">
        <v>1977</v>
      </c>
      <c r="G402" s="183" t="s">
        <v>1978</v>
      </c>
      <c r="H402" s="184">
        <v>101251178176</v>
      </c>
      <c r="I402" s="185" t="s">
        <v>1979</v>
      </c>
      <c r="J402" s="146" t="s">
        <v>1980</v>
      </c>
      <c r="K402" s="247"/>
      <c r="L402" s="186">
        <v>44177</v>
      </c>
      <c r="M402" s="192">
        <v>3300000</v>
      </c>
    </row>
    <row r="403" spans="1:13" hidden="1" x14ac:dyDescent="0.25">
      <c r="A403" s="344">
        <v>251</v>
      </c>
      <c r="B403" s="344" t="s">
        <v>1854</v>
      </c>
      <c r="C403" s="344">
        <v>326</v>
      </c>
      <c r="D403" s="344"/>
      <c r="E403" s="190" t="s">
        <v>434</v>
      </c>
      <c r="F403" s="183" t="s">
        <v>1981</v>
      </c>
      <c r="G403" s="183" t="s">
        <v>1982</v>
      </c>
      <c r="H403" s="184">
        <v>210011012866</v>
      </c>
      <c r="I403" s="185" t="s">
        <v>1983</v>
      </c>
      <c r="J403" s="146" t="s">
        <v>1984</v>
      </c>
      <c r="K403" s="247"/>
      <c r="L403" s="186">
        <v>44179</v>
      </c>
      <c r="M403" s="192">
        <v>3100000</v>
      </c>
    </row>
    <row r="404" spans="1:13" hidden="1" x14ac:dyDescent="0.25">
      <c r="A404" s="344">
        <v>232</v>
      </c>
      <c r="B404" s="344" t="s">
        <v>1689</v>
      </c>
      <c r="C404" s="344">
        <v>327</v>
      </c>
      <c r="D404" s="344"/>
      <c r="E404" s="190" t="s">
        <v>87</v>
      </c>
      <c r="F404" s="183" t="s">
        <v>1985</v>
      </c>
      <c r="G404" s="183" t="s">
        <v>1986</v>
      </c>
      <c r="H404" s="184">
        <v>101251199171</v>
      </c>
      <c r="I404" s="185" t="s">
        <v>1987</v>
      </c>
      <c r="J404" s="146" t="s">
        <v>1988</v>
      </c>
      <c r="K404" s="247"/>
      <c r="L404" s="186">
        <v>44180</v>
      </c>
      <c r="M404" s="192">
        <v>2700000</v>
      </c>
    </row>
    <row r="405" spans="1:13" hidden="1" x14ac:dyDescent="0.25">
      <c r="A405" s="344">
        <v>253</v>
      </c>
      <c r="B405" s="344" t="s">
        <v>1856</v>
      </c>
      <c r="C405" s="344">
        <v>328</v>
      </c>
      <c r="D405" s="344"/>
      <c r="E405" s="190" t="s">
        <v>87</v>
      </c>
      <c r="F405" s="183" t="s">
        <v>1989</v>
      </c>
      <c r="G405" s="183" t="s">
        <v>1990</v>
      </c>
      <c r="H405" s="184">
        <v>210991028054</v>
      </c>
      <c r="I405" s="185" t="s">
        <v>1991</v>
      </c>
      <c r="J405" s="146" t="s">
        <v>1992</v>
      </c>
      <c r="K405" s="247"/>
      <c r="L405" s="186">
        <v>44182</v>
      </c>
      <c r="M405" s="192">
        <v>2800000</v>
      </c>
    </row>
    <row r="406" spans="1:13" hidden="1" x14ac:dyDescent="0.25">
      <c r="A406" s="344">
        <v>235</v>
      </c>
      <c r="B406" s="344" t="s">
        <v>1692</v>
      </c>
      <c r="C406" s="344">
        <v>329</v>
      </c>
      <c r="D406" s="344" t="s">
        <v>1814</v>
      </c>
      <c r="E406" s="190" t="s">
        <v>434</v>
      </c>
      <c r="F406" s="183" t="s">
        <v>2002</v>
      </c>
      <c r="G406" s="183" t="s">
        <v>2003</v>
      </c>
      <c r="H406" s="184">
        <v>101252062501</v>
      </c>
      <c r="I406" s="185" t="s">
        <v>2004</v>
      </c>
      <c r="J406" s="146" t="s">
        <v>2005</v>
      </c>
      <c r="K406" s="247"/>
      <c r="L406" s="186">
        <v>44183</v>
      </c>
      <c r="M406" s="192">
        <v>4000000</v>
      </c>
    </row>
    <row r="407" spans="1:13" hidden="1" x14ac:dyDescent="0.25">
      <c r="A407" s="344">
        <v>256</v>
      </c>
      <c r="B407" s="344" t="s">
        <v>1859</v>
      </c>
      <c r="C407" s="344">
        <v>330</v>
      </c>
      <c r="D407" s="344" t="s">
        <v>2010</v>
      </c>
      <c r="E407" s="190" t="s">
        <v>434</v>
      </c>
      <c r="F407" s="183" t="s">
        <v>2006</v>
      </c>
      <c r="G407" s="183" t="s">
        <v>2007</v>
      </c>
      <c r="H407" s="184">
        <v>101251165776</v>
      </c>
      <c r="I407" s="185" t="s">
        <v>2008</v>
      </c>
      <c r="J407" s="146" t="s">
        <v>2009</v>
      </c>
      <c r="K407" s="247"/>
      <c r="L407" s="186">
        <v>44183</v>
      </c>
      <c r="M407" s="192">
        <v>3600000</v>
      </c>
    </row>
    <row r="408" spans="1:13" hidden="1" x14ac:dyDescent="0.25">
      <c r="A408" s="344">
        <v>260</v>
      </c>
      <c r="B408" s="344" t="s">
        <v>1863</v>
      </c>
      <c r="C408" s="344">
        <v>331</v>
      </c>
      <c r="D408" s="344"/>
      <c r="E408" s="190" t="s">
        <v>435</v>
      </c>
      <c r="F408" s="183" t="s">
        <v>2012</v>
      </c>
      <c r="G408" s="183" t="s">
        <v>2013</v>
      </c>
      <c r="H408" s="184">
        <v>101252200430</v>
      </c>
      <c r="I408" s="185" t="s">
        <v>2014</v>
      </c>
      <c r="J408" s="146" t="s">
        <v>2015</v>
      </c>
      <c r="K408" s="247"/>
      <c r="L408" s="186">
        <v>44186</v>
      </c>
      <c r="M408" s="192">
        <v>3050000</v>
      </c>
    </row>
    <row r="409" spans="1:13" hidden="1" x14ac:dyDescent="0.25">
      <c r="A409" s="344"/>
      <c r="B409" s="344" t="s">
        <v>2016</v>
      </c>
      <c r="C409" s="344">
        <v>332</v>
      </c>
      <c r="D409" s="344"/>
      <c r="E409" s="190" t="s">
        <v>2017</v>
      </c>
      <c r="F409" s="183" t="s">
        <v>2018</v>
      </c>
      <c r="G409" s="183" t="s">
        <v>967</v>
      </c>
      <c r="H409" s="184">
        <v>101981102572</v>
      </c>
      <c r="I409" s="185" t="s">
        <v>2019</v>
      </c>
      <c r="J409" s="146" t="s">
        <v>2020</v>
      </c>
      <c r="K409" s="247"/>
      <c r="L409" s="186">
        <v>44186</v>
      </c>
      <c r="M409" s="192">
        <v>1000000</v>
      </c>
    </row>
    <row r="410" spans="1:13" hidden="1" x14ac:dyDescent="0.25">
      <c r="A410" s="344"/>
      <c r="B410" s="344" t="s">
        <v>2021</v>
      </c>
      <c r="C410" s="344">
        <v>333</v>
      </c>
      <c r="D410" s="344"/>
      <c r="E410" s="190" t="s">
        <v>862</v>
      </c>
      <c r="F410" s="183" t="s">
        <v>2022</v>
      </c>
      <c r="G410" s="183" t="s">
        <v>2023</v>
      </c>
      <c r="H410" s="184">
        <v>101252126458</v>
      </c>
      <c r="I410" s="185" t="s">
        <v>2024</v>
      </c>
      <c r="J410" s="146" t="s">
        <v>2025</v>
      </c>
      <c r="K410" s="247"/>
      <c r="L410" s="186">
        <v>44177</v>
      </c>
      <c r="M410" s="192">
        <v>700000</v>
      </c>
    </row>
    <row r="411" spans="1:13" hidden="1" x14ac:dyDescent="0.25">
      <c r="A411" s="344"/>
      <c r="B411" s="344" t="s">
        <v>2056</v>
      </c>
      <c r="C411" s="344">
        <v>335</v>
      </c>
      <c r="D411" s="344"/>
      <c r="E411" s="190" t="s">
        <v>434</v>
      </c>
      <c r="F411" s="183" t="s">
        <v>2066</v>
      </c>
      <c r="G411" s="183" t="s">
        <v>2067</v>
      </c>
      <c r="H411" s="184">
        <v>101241170872</v>
      </c>
      <c r="I411" s="185" t="s">
        <v>2068</v>
      </c>
      <c r="J411" s="146" t="s">
        <v>2069</v>
      </c>
      <c r="K411" s="247"/>
      <c r="L411" s="186">
        <v>44188</v>
      </c>
      <c r="M411" s="192">
        <v>3800000</v>
      </c>
    </row>
    <row r="412" spans="1:13" hidden="1" x14ac:dyDescent="0.25">
      <c r="A412" s="344">
        <v>268</v>
      </c>
      <c r="B412" s="344" t="s">
        <v>2033</v>
      </c>
      <c r="C412" s="344">
        <v>336</v>
      </c>
      <c r="D412" s="344"/>
      <c r="E412" s="190" t="s">
        <v>435</v>
      </c>
      <c r="F412" s="183" t="s">
        <v>2070</v>
      </c>
      <c r="G412" s="183" t="s">
        <v>2071</v>
      </c>
      <c r="H412" s="184">
        <v>117051009549</v>
      </c>
      <c r="I412" s="185" t="s">
        <v>2072</v>
      </c>
      <c r="J412" s="146" t="s">
        <v>2073</v>
      </c>
      <c r="K412" s="247"/>
      <c r="L412" s="186">
        <v>44188</v>
      </c>
      <c r="M412" s="192">
        <v>3500000</v>
      </c>
    </row>
    <row r="413" spans="1:13" hidden="1" x14ac:dyDescent="0.25">
      <c r="A413" s="344">
        <v>287</v>
      </c>
      <c r="B413" s="344" t="s">
        <v>2052</v>
      </c>
      <c r="C413" s="344">
        <v>337</v>
      </c>
      <c r="D413" s="344"/>
      <c r="E413" s="190" t="s">
        <v>435</v>
      </c>
      <c r="F413" s="183" t="s">
        <v>2074</v>
      </c>
      <c r="G413" s="183" t="s">
        <v>2075</v>
      </c>
      <c r="H413" s="184">
        <v>101251181664</v>
      </c>
      <c r="I413" s="185" t="s">
        <v>2076</v>
      </c>
      <c r="J413" s="146" t="s">
        <v>2077</v>
      </c>
      <c r="K413" s="247"/>
      <c r="L413" s="186">
        <v>44188</v>
      </c>
      <c r="M413" s="192">
        <v>3700000</v>
      </c>
    </row>
    <row r="414" spans="1:13" hidden="1" x14ac:dyDescent="0.25">
      <c r="A414" s="344"/>
      <c r="B414" s="344" t="s">
        <v>2039</v>
      </c>
      <c r="C414" s="344" t="s">
        <v>2081</v>
      </c>
      <c r="D414" s="344"/>
      <c r="E414" s="190" t="s">
        <v>87</v>
      </c>
      <c r="F414" s="183" t="s">
        <v>2078</v>
      </c>
      <c r="G414" s="183" t="s">
        <v>2079</v>
      </c>
      <c r="H414" s="184"/>
      <c r="I414" s="185" t="s">
        <v>2080</v>
      </c>
      <c r="J414" s="146"/>
      <c r="K414" s="247"/>
      <c r="L414" s="186">
        <v>44188</v>
      </c>
      <c r="M414" s="192">
        <v>2580000</v>
      </c>
    </row>
    <row r="415" spans="1:13" hidden="1" x14ac:dyDescent="0.25">
      <c r="A415" s="344">
        <v>282</v>
      </c>
      <c r="B415" s="344" t="s">
        <v>2047</v>
      </c>
      <c r="C415" s="344">
        <v>338</v>
      </c>
      <c r="D415" s="344"/>
      <c r="E415" s="190" t="s">
        <v>87</v>
      </c>
      <c r="F415" s="183" t="s">
        <v>2082</v>
      </c>
      <c r="G415" s="183" t="s">
        <v>2083</v>
      </c>
      <c r="H415" s="184">
        <v>401011038653</v>
      </c>
      <c r="I415" s="185" t="s">
        <v>2084</v>
      </c>
      <c r="J415" s="146" t="s">
        <v>2085</v>
      </c>
      <c r="K415" s="247"/>
      <c r="L415" s="186">
        <v>44188</v>
      </c>
      <c r="M415" s="192">
        <v>2530000</v>
      </c>
    </row>
    <row r="416" spans="1:13" hidden="1" x14ac:dyDescent="0.25">
      <c r="A416" s="344"/>
      <c r="B416" s="344" t="s">
        <v>2045</v>
      </c>
      <c r="C416" s="344">
        <v>339</v>
      </c>
      <c r="D416" s="344"/>
      <c r="E416" s="190" t="s">
        <v>87</v>
      </c>
      <c r="F416" s="183" t="s">
        <v>615</v>
      </c>
      <c r="G416" s="183" t="s">
        <v>2086</v>
      </c>
      <c r="H416" s="184">
        <v>117031018153</v>
      </c>
      <c r="I416" s="185" t="s">
        <v>2087</v>
      </c>
      <c r="J416" s="146" t="s">
        <v>2088</v>
      </c>
      <c r="K416" s="247"/>
      <c r="L416" s="186">
        <v>44188</v>
      </c>
      <c r="M416" s="192">
        <v>2700000</v>
      </c>
    </row>
    <row r="417" spans="1:13" hidden="1" x14ac:dyDescent="0.25">
      <c r="A417" s="344"/>
      <c r="B417" s="344" t="s">
        <v>2031</v>
      </c>
      <c r="C417" s="344">
        <v>340</v>
      </c>
      <c r="D417" s="344"/>
      <c r="E417" s="190" t="s">
        <v>309</v>
      </c>
      <c r="F417" s="183" t="s">
        <v>2089</v>
      </c>
      <c r="G417" s="183" t="s">
        <v>2090</v>
      </c>
      <c r="H417" s="184">
        <v>101251126787</v>
      </c>
      <c r="I417" s="185" t="s">
        <v>1749</v>
      </c>
      <c r="J417" s="146" t="s">
        <v>1750</v>
      </c>
      <c r="K417" s="247"/>
      <c r="L417" s="186">
        <v>44189</v>
      </c>
      <c r="M417" s="192">
        <v>5000000</v>
      </c>
    </row>
    <row r="418" spans="1:13" hidden="1" x14ac:dyDescent="0.25">
      <c r="A418" s="344"/>
      <c r="B418" s="344" t="s">
        <v>2054</v>
      </c>
      <c r="C418" s="344">
        <v>341</v>
      </c>
      <c r="D418" s="344"/>
      <c r="E418" s="190" t="s">
        <v>435</v>
      </c>
      <c r="F418" s="183" t="s">
        <v>2091</v>
      </c>
      <c r="G418" s="183" t="s">
        <v>2092</v>
      </c>
      <c r="H418" s="184">
        <v>101231113898</v>
      </c>
      <c r="I418" s="185" t="s">
        <v>2093</v>
      </c>
      <c r="J418" s="146" t="s">
        <v>2094</v>
      </c>
      <c r="K418" s="247"/>
      <c r="L418" s="186">
        <v>44191</v>
      </c>
      <c r="M418" s="192">
        <v>4000000</v>
      </c>
    </row>
    <row r="419" spans="1:13" hidden="1" x14ac:dyDescent="0.25">
      <c r="A419" s="344"/>
      <c r="B419" s="344" t="s">
        <v>2040</v>
      </c>
      <c r="C419" s="344">
        <v>342</v>
      </c>
      <c r="D419" s="344"/>
      <c r="E419" s="190" t="s">
        <v>87</v>
      </c>
      <c r="F419" s="183" t="s">
        <v>78</v>
      </c>
      <c r="G419" s="183" t="s">
        <v>2095</v>
      </c>
      <c r="H419" s="184">
        <v>101251178562</v>
      </c>
      <c r="I419" s="185" t="s">
        <v>2096</v>
      </c>
      <c r="J419" s="146" t="s">
        <v>2097</v>
      </c>
      <c r="K419" s="247"/>
      <c r="L419" s="186">
        <v>44191</v>
      </c>
      <c r="M419" s="192">
        <v>2600000</v>
      </c>
    </row>
    <row r="420" spans="1:13" hidden="1" x14ac:dyDescent="0.25">
      <c r="A420" s="344"/>
      <c r="B420" s="344" t="s">
        <v>2029</v>
      </c>
      <c r="C420" s="344">
        <v>343</v>
      </c>
      <c r="D420" s="344"/>
      <c r="E420" s="190" t="s">
        <v>435</v>
      </c>
      <c r="F420" s="183" t="s">
        <v>1104</v>
      </c>
      <c r="G420" s="183" t="s">
        <v>2098</v>
      </c>
      <c r="H420" s="184">
        <v>101981072698</v>
      </c>
      <c r="I420" s="185" t="s">
        <v>2099</v>
      </c>
      <c r="J420" s="146" t="s">
        <v>2100</v>
      </c>
      <c r="K420" s="247"/>
      <c r="L420" s="186">
        <v>44191</v>
      </c>
      <c r="M420" s="192">
        <v>3500000</v>
      </c>
    </row>
    <row r="421" spans="1:13" hidden="1" x14ac:dyDescent="0.25">
      <c r="A421" s="344"/>
      <c r="B421" s="344" t="s">
        <v>2046</v>
      </c>
      <c r="C421" s="344" t="s">
        <v>2101</v>
      </c>
      <c r="D421" s="344"/>
      <c r="E421" s="190" t="s">
        <v>435</v>
      </c>
      <c r="F421" s="183" t="s">
        <v>2102</v>
      </c>
      <c r="G421" s="183" t="s">
        <v>2103</v>
      </c>
      <c r="H421" s="184">
        <v>101251138821</v>
      </c>
      <c r="I421" s="185" t="s">
        <v>2104</v>
      </c>
      <c r="J421" s="146" t="s">
        <v>2105</v>
      </c>
      <c r="K421" s="247"/>
      <c r="L421" s="186">
        <v>44191</v>
      </c>
      <c r="M421" s="192">
        <v>3200000</v>
      </c>
    </row>
    <row r="422" spans="1:13" hidden="1" x14ac:dyDescent="0.25">
      <c r="A422" s="344"/>
      <c r="B422" s="344" t="s">
        <v>1676</v>
      </c>
      <c r="C422" s="344">
        <v>344</v>
      </c>
      <c r="D422" s="344"/>
      <c r="E422" s="190" t="s">
        <v>435</v>
      </c>
      <c r="F422" s="183" t="s">
        <v>101</v>
      </c>
      <c r="G422" s="183" t="s">
        <v>2106</v>
      </c>
      <c r="H422" s="184">
        <v>110251006336</v>
      </c>
      <c r="I422" s="185" t="s">
        <v>2107</v>
      </c>
      <c r="J422" s="146" t="s">
        <v>2108</v>
      </c>
      <c r="K422" s="247"/>
      <c r="L422" s="186">
        <v>44192</v>
      </c>
      <c r="M422" s="192">
        <v>4200000</v>
      </c>
    </row>
    <row r="423" spans="1:13" hidden="1" x14ac:dyDescent="0.25">
      <c r="A423" s="344"/>
      <c r="B423" s="344" t="s">
        <v>2055</v>
      </c>
      <c r="C423" s="344">
        <v>345</v>
      </c>
      <c r="D423" s="344"/>
      <c r="E423" s="190" t="s">
        <v>87</v>
      </c>
      <c r="F423" s="183" t="s">
        <v>2109</v>
      </c>
      <c r="G423" s="183" t="s">
        <v>2110</v>
      </c>
      <c r="H423" s="184">
        <v>101231044926</v>
      </c>
      <c r="I423" s="185" t="s">
        <v>2111</v>
      </c>
      <c r="J423" s="146" t="s">
        <v>2112</v>
      </c>
      <c r="K423" s="247"/>
      <c r="L423" s="186">
        <v>44193</v>
      </c>
      <c r="M423" s="192">
        <v>3000000</v>
      </c>
    </row>
    <row r="424" spans="1:13" hidden="1" x14ac:dyDescent="0.25">
      <c r="A424" s="344"/>
      <c r="B424" s="344" t="s">
        <v>2051</v>
      </c>
      <c r="C424" s="344">
        <v>346</v>
      </c>
      <c r="D424" s="344"/>
      <c r="E424" s="190" t="s">
        <v>87</v>
      </c>
      <c r="F424" s="183" t="s">
        <v>465</v>
      </c>
      <c r="G424" s="183" t="s">
        <v>2113</v>
      </c>
      <c r="H424" s="184">
        <v>101251219528</v>
      </c>
      <c r="I424" s="185" t="s">
        <v>2114</v>
      </c>
      <c r="J424" s="146"/>
      <c r="K424" s="247"/>
      <c r="L424" s="186">
        <v>44193</v>
      </c>
      <c r="M424" s="192">
        <v>2600000</v>
      </c>
    </row>
    <row r="425" spans="1:13" hidden="1" x14ac:dyDescent="0.25">
      <c r="A425" s="344"/>
      <c r="B425" s="344" t="s">
        <v>2049</v>
      </c>
      <c r="C425" s="344">
        <v>347</v>
      </c>
      <c r="D425" s="344"/>
      <c r="E425" s="190" t="s">
        <v>309</v>
      </c>
      <c r="F425" s="183" t="s">
        <v>1499</v>
      </c>
      <c r="G425" s="183" t="s">
        <v>2115</v>
      </c>
      <c r="H425" s="184">
        <v>101981037527</v>
      </c>
      <c r="I425" s="185" t="s">
        <v>2116</v>
      </c>
      <c r="J425" s="146" t="s">
        <v>2117</v>
      </c>
      <c r="K425" s="247"/>
      <c r="L425" s="186">
        <v>44194</v>
      </c>
      <c r="M425" s="192">
        <v>5000000</v>
      </c>
    </row>
    <row r="426" spans="1:13" hidden="1" x14ac:dyDescent="0.25">
      <c r="A426" s="344"/>
      <c r="B426" s="344" t="s">
        <v>2062</v>
      </c>
      <c r="C426" s="344">
        <v>349</v>
      </c>
      <c r="D426" s="344"/>
      <c r="E426" s="190" t="s">
        <v>436</v>
      </c>
      <c r="F426" s="183" t="s">
        <v>2118</v>
      </c>
      <c r="G426" s="183" t="s">
        <v>2119</v>
      </c>
      <c r="H426" s="184">
        <v>313011024837</v>
      </c>
      <c r="I426" s="185" t="s">
        <v>2120</v>
      </c>
      <c r="J426" s="146" t="s">
        <v>2121</v>
      </c>
      <c r="K426" s="247"/>
      <c r="L426" s="186">
        <v>44194</v>
      </c>
      <c r="M426" s="192">
        <v>3350000</v>
      </c>
    </row>
    <row r="427" spans="1:13" hidden="1" x14ac:dyDescent="0.25">
      <c r="A427" s="344"/>
      <c r="B427" s="344" t="s">
        <v>2034</v>
      </c>
      <c r="C427" s="344">
        <v>350</v>
      </c>
      <c r="D427" s="344"/>
      <c r="E427" s="190" t="s">
        <v>435</v>
      </c>
      <c r="F427" s="183" t="s">
        <v>1474</v>
      </c>
      <c r="G427" s="183" t="s">
        <v>2122</v>
      </c>
      <c r="H427" s="184">
        <v>201011020638</v>
      </c>
      <c r="I427" s="185" t="s">
        <v>2123</v>
      </c>
      <c r="J427" s="146" t="s">
        <v>2124</v>
      </c>
      <c r="K427" s="247"/>
      <c r="L427" s="186">
        <v>44194</v>
      </c>
      <c r="M427" s="192">
        <v>3600000</v>
      </c>
    </row>
    <row r="428" spans="1:13" hidden="1" x14ac:dyDescent="0.25">
      <c r="A428" s="344"/>
      <c r="B428" s="344" t="s">
        <v>2035</v>
      </c>
      <c r="C428" s="344">
        <v>351</v>
      </c>
      <c r="D428" s="344"/>
      <c r="E428" s="190" t="s">
        <v>87</v>
      </c>
      <c r="F428" s="183" t="s">
        <v>2125</v>
      </c>
      <c r="G428" s="183" t="s">
        <v>2126</v>
      </c>
      <c r="H428" s="184"/>
      <c r="I428" s="185" t="s">
        <v>2127</v>
      </c>
      <c r="J428" s="146" t="s">
        <v>2128</v>
      </c>
      <c r="K428" s="247"/>
      <c r="L428" s="186">
        <v>44195</v>
      </c>
      <c r="M428" s="192">
        <v>2400000</v>
      </c>
    </row>
    <row r="429" spans="1:13" hidden="1" x14ac:dyDescent="0.25">
      <c r="A429" s="344"/>
      <c r="B429" s="344" t="s">
        <v>2036</v>
      </c>
      <c r="C429" s="468" t="s">
        <v>2136</v>
      </c>
      <c r="D429" s="344"/>
      <c r="E429" s="190" t="s">
        <v>87</v>
      </c>
      <c r="F429" s="183" t="s">
        <v>1465</v>
      </c>
      <c r="G429" s="183" t="s">
        <v>2137</v>
      </c>
      <c r="H429" s="184">
        <v>117031011790</v>
      </c>
      <c r="I429" s="185" t="s">
        <v>2138</v>
      </c>
      <c r="J429" s="146" t="s">
        <v>2139</v>
      </c>
      <c r="K429" s="247"/>
      <c r="L429" s="186">
        <v>44198</v>
      </c>
      <c r="M429" s="192">
        <v>2600000</v>
      </c>
    </row>
    <row r="430" spans="1:13" x14ac:dyDescent="0.25">
      <c r="A430" s="344"/>
      <c r="B430" s="344" t="s">
        <v>2129</v>
      </c>
      <c r="C430" s="344">
        <v>354</v>
      </c>
      <c r="D430" s="344"/>
      <c r="E430" s="190" t="s">
        <v>2130</v>
      </c>
      <c r="F430" s="183" t="s">
        <v>2131</v>
      </c>
      <c r="G430" s="183" t="s">
        <v>2132</v>
      </c>
      <c r="H430" s="184" t="s">
        <v>2133</v>
      </c>
      <c r="I430" s="185" t="s">
        <v>2134</v>
      </c>
      <c r="J430" s="146" t="s">
        <v>2135</v>
      </c>
      <c r="K430" s="247"/>
      <c r="L430" s="186">
        <v>44203</v>
      </c>
      <c r="M430" s="192">
        <v>1200000</v>
      </c>
    </row>
    <row r="431" spans="1:13" hidden="1" x14ac:dyDescent="0.25">
      <c r="A431" s="344"/>
      <c r="B431" s="344" t="s">
        <v>1840</v>
      </c>
      <c r="C431" s="344">
        <v>355</v>
      </c>
      <c r="D431" s="344"/>
      <c r="E431" s="190" t="s">
        <v>87</v>
      </c>
      <c r="F431" s="183" t="s">
        <v>1924</v>
      </c>
      <c r="G431" s="183" t="s">
        <v>2140</v>
      </c>
      <c r="H431" s="184">
        <v>715031020339</v>
      </c>
      <c r="I431" s="185" t="s">
        <v>1926</v>
      </c>
      <c r="J431" s="146" t="s">
        <v>1927</v>
      </c>
      <c r="K431" s="247"/>
      <c r="L431" s="186">
        <v>44200</v>
      </c>
      <c r="M431" s="192">
        <v>3000000</v>
      </c>
    </row>
    <row r="432" spans="1:13" x14ac:dyDescent="0.25">
      <c r="A432" s="344"/>
      <c r="B432" s="344" t="s">
        <v>2141</v>
      </c>
      <c r="C432" s="344">
        <v>356</v>
      </c>
      <c r="D432" s="344"/>
      <c r="E432" s="190" t="s">
        <v>1034</v>
      </c>
      <c r="F432" s="183" t="s">
        <v>1973</v>
      </c>
      <c r="G432" s="183" t="s">
        <v>2142</v>
      </c>
      <c r="H432" s="184">
        <v>101222121143</v>
      </c>
      <c r="I432" s="185" t="s">
        <v>2143</v>
      </c>
      <c r="J432" s="146" t="s">
        <v>2144</v>
      </c>
      <c r="K432" s="247"/>
      <c r="L432" s="186">
        <v>44202</v>
      </c>
      <c r="M432" s="192">
        <v>1300000</v>
      </c>
    </row>
    <row r="433" spans="1:13" hidden="1" x14ac:dyDescent="0.25">
      <c r="A433" s="344"/>
      <c r="B433" s="344" t="s">
        <v>2145</v>
      </c>
      <c r="C433" s="344">
        <v>357</v>
      </c>
      <c r="D433" s="344"/>
      <c r="E433" s="190" t="s">
        <v>435</v>
      </c>
      <c r="F433" s="183" t="s">
        <v>2118</v>
      </c>
      <c r="G433" s="183" t="s">
        <v>2146</v>
      </c>
      <c r="H433" s="184">
        <v>101251175188</v>
      </c>
      <c r="I433" s="185" t="s">
        <v>2147</v>
      </c>
      <c r="J433" s="146" t="s">
        <v>2148</v>
      </c>
      <c r="K433" s="247"/>
      <c r="L433" s="186">
        <v>44203</v>
      </c>
      <c r="M433" s="192">
        <v>3500000</v>
      </c>
    </row>
    <row r="434" spans="1:13" hidden="1" x14ac:dyDescent="0.25">
      <c r="A434" s="344"/>
      <c r="B434" s="344" t="s">
        <v>1846</v>
      </c>
      <c r="C434" s="344">
        <v>359</v>
      </c>
      <c r="D434" s="344"/>
      <c r="E434" s="190" t="s">
        <v>434</v>
      </c>
      <c r="F434" s="183" t="s">
        <v>2149</v>
      </c>
      <c r="G434" s="183" t="s">
        <v>2150</v>
      </c>
      <c r="H434" s="184">
        <v>101231101838</v>
      </c>
      <c r="I434" s="185" t="s">
        <v>2151</v>
      </c>
      <c r="J434" s="146" t="s">
        <v>871</v>
      </c>
      <c r="K434" s="247"/>
      <c r="L434" s="186">
        <v>44203</v>
      </c>
      <c r="M434" s="192">
        <v>3500000</v>
      </c>
    </row>
    <row r="435" spans="1:13" hidden="1" x14ac:dyDescent="0.25">
      <c r="A435" s="344"/>
      <c r="B435" s="344" t="s">
        <v>2152</v>
      </c>
      <c r="C435" s="344">
        <v>360</v>
      </c>
      <c r="D435" s="344"/>
      <c r="E435" s="190" t="s">
        <v>87</v>
      </c>
      <c r="F435" s="183" t="s">
        <v>2153</v>
      </c>
      <c r="G435" s="183" t="s">
        <v>2154</v>
      </c>
      <c r="H435" s="184"/>
      <c r="I435" s="185"/>
      <c r="J435" s="146"/>
      <c r="K435" s="247"/>
      <c r="L435" s="186">
        <v>44203</v>
      </c>
      <c r="M435" s="192">
        <v>2600000</v>
      </c>
    </row>
    <row r="436" spans="1:13" hidden="1" x14ac:dyDescent="0.25">
      <c r="A436" s="344"/>
      <c r="B436" s="344" t="s">
        <v>2050</v>
      </c>
      <c r="C436" s="344">
        <v>361</v>
      </c>
      <c r="D436" s="344"/>
      <c r="E436" s="190" t="s">
        <v>435</v>
      </c>
      <c r="F436" s="183" t="s">
        <v>2155</v>
      </c>
      <c r="G436" s="183" t="s">
        <v>2156</v>
      </c>
      <c r="H436" s="184">
        <v>108071011075</v>
      </c>
      <c r="I436" s="185" t="s">
        <v>2157</v>
      </c>
      <c r="J436" s="146" t="s">
        <v>2158</v>
      </c>
      <c r="K436" s="247"/>
      <c r="L436" s="186">
        <v>44203</v>
      </c>
      <c r="M436" s="192">
        <v>3900000</v>
      </c>
    </row>
    <row r="437" spans="1:13" hidden="1" x14ac:dyDescent="0.25">
      <c r="A437" s="344"/>
      <c r="B437" s="344" t="s">
        <v>1274</v>
      </c>
      <c r="C437" s="344">
        <v>362</v>
      </c>
      <c r="D437" s="344"/>
      <c r="E437" s="190" t="s">
        <v>87</v>
      </c>
      <c r="F437" s="183" t="s">
        <v>2159</v>
      </c>
      <c r="G437" s="183" t="s">
        <v>2160</v>
      </c>
      <c r="H437" s="184">
        <v>101981070073</v>
      </c>
      <c r="I437" s="185" t="s">
        <v>2161</v>
      </c>
      <c r="J437" s="146" t="s">
        <v>2162</v>
      </c>
      <c r="K437" s="247"/>
      <c r="L437" s="186">
        <v>44204</v>
      </c>
      <c r="M437" s="192">
        <v>3000000</v>
      </c>
    </row>
    <row r="438" spans="1:13" hidden="1" x14ac:dyDescent="0.25">
      <c r="A438" s="344"/>
      <c r="B438" s="344" t="s">
        <v>2163</v>
      </c>
      <c r="C438" s="344">
        <v>363</v>
      </c>
      <c r="D438" s="344"/>
      <c r="E438" s="190" t="s">
        <v>1712</v>
      </c>
      <c r="F438" s="183" t="s">
        <v>2164</v>
      </c>
      <c r="G438" s="183" t="s">
        <v>2165</v>
      </c>
      <c r="H438" s="184">
        <v>102032052854</v>
      </c>
      <c r="I438" s="185" t="s">
        <v>2166</v>
      </c>
      <c r="J438" s="146" t="s">
        <v>2167</v>
      </c>
      <c r="K438" s="247"/>
      <c r="L438" s="186">
        <v>44204</v>
      </c>
      <c r="M438" s="192">
        <v>2600000</v>
      </c>
    </row>
    <row r="439" spans="1:13" hidden="1" x14ac:dyDescent="0.25">
      <c r="A439" s="344"/>
      <c r="B439" s="344" t="s">
        <v>2028</v>
      </c>
      <c r="C439" s="344">
        <v>364</v>
      </c>
      <c r="D439" s="344"/>
      <c r="E439" s="190" t="s">
        <v>435</v>
      </c>
      <c r="F439" s="183" t="s">
        <v>2168</v>
      </c>
      <c r="G439" s="183" t="s">
        <v>2169</v>
      </c>
      <c r="H439" s="184">
        <v>103111006347</v>
      </c>
      <c r="I439" s="185" t="s">
        <v>2170</v>
      </c>
      <c r="J439" s="146" t="s">
        <v>2171</v>
      </c>
      <c r="K439" s="247"/>
      <c r="L439" s="186">
        <v>44205</v>
      </c>
      <c r="M439" s="192">
        <v>4400000</v>
      </c>
    </row>
    <row r="440" spans="1:13" x14ac:dyDescent="0.25">
      <c r="A440" s="344"/>
      <c r="B440" s="344" t="s">
        <v>2172</v>
      </c>
      <c r="C440" s="344">
        <v>365</v>
      </c>
      <c r="D440" s="344"/>
      <c r="E440" s="190" t="s">
        <v>1034</v>
      </c>
      <c r="F440" s="183" t="s">
        <v>589</v>
      </c>
      <c r="G440" s="183" t="s">
        <v>2173</v>
      </c>
      <c r="H440" s="184">
        <v>101251170349</v>
      </c>
      <c r="I440" s="185" t="s">
        <v>2174</v>
      </c>
      <c r="J440" s="146" t="s">
        <v>2175</v>
      </c>
      <c r="K440" s="247"/>
      <c r="L440" s="186">
        <v>44207</v>
      </c>
      <c r="M440" s="192">
        <v>1200000</v>
      </c>
    </row>
    <row r="441" spans="1:13" hidden="1" x14ac:dyDescent="0.25">
      <c r="A441" s="344"/>
      <c r="B441" s="344" t="s">
        <v>1663</v>
      </c>
      <c r="C441" s="344">
        <v>366</v>
      </c>
      <c r="D441" s="344"/>
      <c r="E441" s="190" t="s">
        <v>87</v>
      </c>
      <c r="F441" s="183" t="s">
        <v>2176</v>
      </c>
      <c r="G441" s="183" t="s">
        <v>2177</v>
      </c>
      <c r="H441" s="184">
        <v>101231159312</v>
      </c>
      <c r="I441" s="185" t="s">
        <v>2178</v>
      </c>
      <c r="J441" s="146" t="s">
        <v>2179</v>
      </c>
      <c r="K441" s="247"/>
      <c r="L441" s="186">
        <v>44207</v>
      </c>
      <c r="M441" s="192">
        <v>3600000</v>
      </c>
    </row>
    <row r="442" spans="1:13" hidden="1" x14ac:dyDescent="0.25">
      <c r="A442" s="344"/>
      <c r="B442" s="344" t="s">
        <v>458</v>
      </c>
      <c r="C442" s="344">
        <v>367</v>
      </c>
      <c r="D442" s="344"/>
      <c r="E442" s="190" t="s">
        <v>434</v>
      </c>
      <c r="F442" s="183" t="s">
        <v>2180</v>
      </c>
      <c r="G442" s="183" t="s">
        <v>540</v>
      </c>
      <c r="H442" s="184">
        <v>214092004794</v>
      </c>
      <c r="I442" s="185" t="s">
        <v>541</v>
      </c>
      <c r="J442" s="146" t="s">
        <v>542</v>
      </c>
      <c r="K442" s="247"/>
      <c r="L442" s="186">
        <v>43988</v>
      </c>
      <c r="M442" s="192">
        <v>4000000</v>
      </c>
    </row>
    <row r="443" spans="1:13" hidden="1" x14ac:dyDescent="0.25">
      <c r="A443" s="344"/>
      <c r="B443" s="344" t="s">
        <v>1862</v>
      </c>
      <c r="C443" s="344">
        <v>368</v>
      </c>
      <c r="D443" s="344"/>
      <c r="E443" s="190" t="s">
        <v>87</v>
      </c>
      <c r="F443" s="183" t="s">
        <v>2181</v>
      </c>
      <c r="G443" s="183" t="s">
        <v>2182</v>
      </c>
      <c r="H443" s="184">
        <v>101231132312</v>
      </c>
      <c r="I443" s="185" t="s">
        <v>2183</v>
      </c>
      <c r="J443" s="146" t="s">
        <v>2184</v>
      </c>
      <c r="K443" s="247"/>
      <c r="L443" s="186">
        <v>44208</v>
      </c>
      <c r="M443" s="192">
        <v>2500000</v>
      </c>
    </row>
    <row r="444" spans="1:13" hidden="1" x14ac:dyDescent="0.25">
      <c r="A444" s="344"/>
      <c r="B444" s="344" t="s">
        <v>2185</v>
      </c>
      <c r="C444" s="344">
        <v>369</v>
      </c>
      <c r="D444" s="344"/>
      <c r="E444" s="190" t="s">
        <v>87</v>
      </c>
      <c r="F444" s="183" t="s">
        <v>1755</v>
      </c>
      <c r="G444" s="183" t="s">
        <v>2186</v>
      </c>
      <c r="H444" s="184">
        <v>101251165375</v>
      </c>
      <c r="I444" s="185" t="s">
        <v>2187</v>
      </c>
      <c r="J444" s="146" t="s">
        <v>2188</v>
      </c>
      <c r="K444" s="247"/>
      <c r="L444" s="186">
        <v>44208</v>
      </c>
      <c r="M444" s="192">
        <v>2600000</v>
      </c>
    </row>
    <row r="445" spans="1:13" hidden="1" x14ac:dyDescent="0.25">
      <c r="A445" s="344">
        <v>277</v>
      </c>
      <c r="B445" s="344" t="s">
        <v>2042</v>
      </c>
      <c r="C445" s="344">
        <v>370</v>
      </c>
      <c r="D445" s="344"/>
      <c r="E445" s="190" t="s">
        <v>309</v>
      </c>
      <c r="F445" s="183" t="s">
        <v>2189</v>
      </c>
      <c r="G445" s="183" t="s">
        <v>2190</v>
      </c>
      <c r="H445" s="184">
        <v>715051023431</v>
      </c>
      <c r="I445" s="185" t="s">
        <v>2191</v>
      </c>
      <c r="J445" s="146" t="s">
        <v>2192</v>
      </c>
      <c r="K445" s="247"/>
      <c r="L445" s="186">
        <v>44208</v>
      </c>
      <c r="M445" s="192">
        <v>4000000</v>
      </c>
    </row>
    <row r="446" spans="1:13" hidden="1" x14ac:dyDescent="0.25">
      <c r="A446" s="344"/>
      <c r="B446" s="344" t="s">
        <v>2193</v>
      </c>
      <c r="C446" s="344"/>
      <c r="D446" s="344" t="s">
        <v>2194</v>
      </c>
      <c r="E446" s="190" t="s">
        <v>87</v>
      </c>
      <c r="F446" s="183" t="s">
        <v>2195</v>
      </c>
      <c r="G446" s="183" t="s">
        <v>2196</v>
      </c>
      <c r="H446" s="184">
        <v>101251110408</v>
      </c>
      <c r="I446" s="185" t="s">
        <v>2197</v>
      </c>
      <c r="J446" s="146" t="s">
        <v>2198</v>
      </c>
      <c r="K446" s="247"/>
      <c r="L446" s="186">
        <v>44188</v>
      </c>
      <c r="M446" s="192"/>
    </row>
    <row r="447" spans="1:13" hidden="1" x14ac:dyDescent="0.25">
      <c r="A447" s="344"/>
      <c r="B447" s="344" t="s">
        <v>2055</v>
      </c>
      <c r="C447" s="344"/>
      <c r="D447" s="344" t="s">
        <v>2199</v>
      </c>
      <c r="E447" s="190" t="s">
        <v>87</v>
      </c>
      <c r="F447" s="183" t="s">
        <v>1310</v>
      </c>
      <c r="G447" s="183" t="s">
        <v>2200</v>
      </c>
      <c r="H447" s="184">
        <v>101231163671</v>
      </c>
      <c r="I447" s="185" t="s">
        <v>2201</v>
      </c>
      <c r="J447" s="146" t="s">
        <v>1313</v>
      </c>
      <c r="K447" s="247"/>
      <c r="L447" s="186">
        <v>44188</v>
      </c>
      <c r="M447" s="192">
        <v>3200000</v>
      </c>
    </row>
    <row r="448" spans="1:13" hidden="1" x14ac:dyDescent="0.25">
      <c r="A448" s="344"/>
      <c r="B448" s="344" t="s">
        <v>2049</v>
      </c>
      <c r="C448" s="344"/>
      <c r="D448" s="344" t="s">
        <v>2202</v>
      </c>
      <c r="E448" s="190" t="s">
        <v>309</v>
      </c>
      <c r="F448" s="183" t="s">
        <v>2203</v>
      </c>
      <c r="G448" s="183" t="s">
        <v>607</v>
      </c>
      <c r="H448" s="184">
        <v>101231163671</v>
      </c>
      <c r="I448" s="185" t="s">
        <v>2204</v>
      </c>
      <c r="J448" s="146" t="s">
        <v>1313</v>
      </c>
      <c r="K448" s="247"/>
      <c r="L448" s="186">
        <v>44188</v>
      </c>
      <c r="M448" s="192">
        <v>5000000</v>
      </c>
    </row>
    <row r="449" spans="1:13" hidden="1" x14ac:dyDescent="0.25">
      <c r="A449" s="344">
        <v>275</v>
      </c>
      <c r="B449" s="344" t="s">
        <v>2040</v>
      </c>
      <c r="C449" s="344"/>
      <c r="D449" s="344" t="s">
        <v>2205</v>
      </c>
      <c r="E449" s="190" t="s">
        <v>87</v>
      </c>
      <c r="F449" s="183" t="s">
        <v>1902</v>
      </c>
      <c r="G449" s="183" t="s">
        <v>1903</v>
      </c>
      <c r="H449" s="184">
        <v>316011013614</v>
      </c>
      <c r="I449" s="185" t="s">
        <v>2206</v>
      </c>
      <c r="J449" s="146" t="s">
        <v>1905</v>
      </c>
      <c r="K449" s="247"/>
      <c r="L449" s="186">
        <v>44188</v>
      </c>
      <c r="M449" s="192">
        <v>2430000</v>
      </c>
    </row>
    <row r="450" spans="1:13" hidden="1" x14ac:dyDescent="0.25">
      <c r="A450" s="344">
        <v>289</v>
      </c>
      <c r="B450" s="344" t="s">
        <v>2054</v>
      </c>
      <c r="C450" s="344"/>
      <c r="D450" s="344" t="s">
        <v>2207</v>
      </c>
      <c r="E450" s="190" t="s">
        <v>435</v>
      </c>
      <c r="F450" s="183" t="s">
        <v>92</v>
      </c>
      <c r="G450" s="183" t="s">
        <v>93</v>
      </c>
      <c r="H450" s="184">
        <v>110051004731</v>
      </c>
      <c r="I450" s="185" t="s">
        <v>94</v>
      </c>
      <c r="J450" s="146" t="s">
        <v>325</v>
      </c>
      <c r="K450" s="247"/>
      <c r="L450" s="186">
        <v>44188</v>
      </c>
      <c r="M450" s="192">
        <v>3600000</v>
      </c>
    </row>
    <row r="451" spans="1:13" hidden="1" x14ac:dyDescent="0.25">
      <c r="A451" s="344">
        <v>293</v>
      </c>
      <c r="B451" s="344" t="s">
        <v>2058</v>
      </c>
      <c r="C451" s="344"/>
      <c r="D451" s="344" t="s">
        <v>2208</v>
      </c>
      <c r="E451" s="190" t="s">
        <v>435</v>
      </c>
      <c r="F451" s="183" t="s">
        <v>1811</v>
      </c>
      <c r="G451" s="183" t="s">
        <v>2059</v>
      </c>
      <c r="H451" s="184">
        <v>101251116545</v>
      </c>
      <c r="I451" s="185" t="s">
        <v>2209</v>
      </c>
      <c r="J451" s="146" t="s">
        <v>1813</v>
      </c>
      <c r="K451" s="247"/>
      <c r="L451" s="186">
        <v>44188</v>
      </c>
      <c r="M451" s="192">
        <v>3900000</v>
      </c>
    </row>
    <row r="452" spans="1:13" hidden="1" x14ac:dyDescent="0.25">
      <c r="A452" s="344"/>
      <c r="B452" s="344" t="s">
        <v>2032</v>
      </c>
      <c r="C452" s="344"/>
      <c r="D452" s="344" t="s">
        <v>2210</v>
      </c>
      <c r="E452" s="190" t="s">
        <v>435</v>
      </c>
      <c r="F452" s="183" t="s">
        <v>92</v>
      </c>
      <c r="G452" s="183" t="s">
        <v>93</v>
      </c>
      <c r="H452" s="184">
        <v>110051004731</v>
      </c>
      <c r="I452" s="185" t="s">
        <v>94</v>
      </c>
      <c r="J452" s="146" t="s">
        <v>325</v>
      </c>
      <c r="K452" s="247"/>
      <c r="L452" s="186">
        <v>44188</v>
      </c>
      <c r="M452" s="192">
        <v>3800000</v>
      </c>
    </row>
    <row r="453" spans="1:13" hidden="1" x14ac:dyDescent="0.25">
      <c r="A453" s="344"/>
      <c r="B453" s="344" t="s">
        <v>2037</v>
      </c>
      <c r="C453" s="344"/>
      <c r="D453" s="344" t="s">
        <v>2211</v>
      </c>
      <c r="E453" s="190" t="s">
        <v>87</v>
      </c>
      <c r="F453" s="183" t="s">
        <v>1773</v>
      </c>
      <c r="G453" s="183" t="s">
        <v>1815</v>
      </c>
      <c r="H453" s="184">
        <v>312071014626</v>
      </c>
      <c r="I453" s="185"/>
      <c r="J453" s="146"/>
      <c r="K453" s="247"/>
      <c r="L453" s="186">
        <v>44188</v>
      </c>
      <c r="M453" s="192">
        <v>2650000</v>
      </c>
    </row>
    <row r="454" spans="1:13" hidden="1" x14ac:dyDescent="0.25">
      <c r="A454" s="344"/>
      <c r="B454" s="344" t="s">
        <v>2053</v>
      </c>
      <c r="C454" s="344"/>
      <c r="D454" s="344" t="s">
        <v>2212</v>
      </c>
      <c r="E454" s="190" t="s">
        <v>435</v>
      </c>
      <c r="F454" s="183"/>
      <c r="G454" s="183"/>
      <c r="H454" s="184"/>
      <c r="I454" s="185"/>
      <c r="J454" s="146"/>
      <c r="K454" s="247"/>
      <c r="L454" s="186">
        <v>44189</v>
      </c>
      <c r="M454" s="192"/>
    </row>
    <row r="455" spans="1:13" hidden="1" x14ac:dyDescent="0.25">
      <c r="A455" s="344"/>
      <c r="B455" s="344" t="s">
        <v>2048</v>
      </c>
      <c r="C455" s="344"/>
      <c r="D455" s="344" t="s">
        <v>2213</v>
      </c>
      <c r="E455" s="190" t="s">
        <v>87</v>
      </c>
      <c r="F455" s="183" t="s">
        <v>2214</v>
      </c>
      <c r="G455" s="183" t="s">
        <v>2215</v>
      </c>
      <c r="H455" s="184">
        <v>102031025424</v>
      </c>
      <c r="I455" s="185" t="s">
        <v>2216</v>
      </c>
      <c r="J455" s="146" t="s">
        <v>2217</v>
      </c>
      <c r="K455" s="247"/>
      <c r="L455" s="186">
        <v>44189</v>
      </c>
      <c r="M455" s="192">
        <v>3000000</v>
      </c>
    </row>
    <row r="456" spans="1:13" hidden="1" x14ac:dyDescent="0.25">
      <c r="A456" s="344"/>
      <c r="B456" s="344" t="s">
        <v>2051</v>
      </c>
      <c r="C456" s="344"/>
      <c r="D456" s="344" t="s">
        <v>2218</v>
      </c>
      <c r="E456" s="190" t="s">
        <v>87</v>
      </c>
      <c r="F456" s="183" t="s">
        <v>623</v>
      </c>
      <c r="G456" s="183" t="s">
        <v>624</v>
      </c>
      <c r="H456" s="184">
        <v>101251194702</v>
      </c>
      <c r="I456" s="185" t="s">
        <v>2219</v>
      </c>
      <c r="J456" s="146" t="s">
        <v>1493</v>
      </c>
      <c r="K456" s="247"/>
      <c r="L456" s="186">
        <v>44189</v>
      </c>
      <c r="M456" s="192">
        <v>3320000</v>
      </c>
    </row>
    <row r="457" spans="1:13" hidden="1" x14ac:dyDescent="0.25">
      <c r="A457" s="344"/>
      <c r="B457" s="344" t="s">
        <v>1676</v>
      </c>
      <c r="C457" s="344"/>
      <c r="D457" s="344" t="s">
        <v>2218</v>
      </c>
      <c r="E457" s="190" t="s">
        <v>434</v>
      </c>
      <c r="F457" s="183"/>
      <c r="G457" s="183" t="s">
        <v>93</v>
      </c>
      <c r="H457" s="184">
        <v>110051004731</v>
      </c>
      <c r="I457" s="185" t="s">
        <v>94</v>
      </c>
      <c r="J457" s="146" t="s">
        <v>325</v>
      </c>
      <c r="K457" s="247"/>
      <c r="L457" s="186">
        <v>44191</v>
      </c>
      <c r="M457" s="192">
        <v>3700000</v>
      </c>
    </row>
    <row r="458" spans="1:13" hidden="1" x14ac:dyDescent="0.25">
      <c r="A458" s="344"/>
      <c r="B458" s="344" t="s">
        <v>2044</v>
      </c>
      <c r="C458" s="344"/>
      <c r="D458" s="344" t="s">
        <v>2220</v>
      </c>
      <c r="E458" s="190" t="s">
        <v>87</v>
      </c>
      <c r="F458" s="183" t="s">
        <v>1902</v>
      </c>
      <c r="G458" s="183" t="s">
        <v>1903</v>
      </c>
      <c r="H458" s="184">
        <v>316011013614</v>
      </c>
      <c r="I458" s="185" t="s">
        <v>2221</v>
      </c>
      <c r="J458" s="146" t="s">
        <v>1905</v>
      </c>
      <c r="K458" s="247"/>
      <c r="L458" s="186">
        <v>44191</v>
      </c>
      <c r="M458" s="192">
        <v>3100000</v>
      </c>
    </row>
    <row r="459" spans="1:13" hidden="1" x14ac:dyDescent="0.25">
      <c r="A459" s="344"/>
      <c r="B459" s="344" t="s">
        <v>2043</v>
      </c>
      <c r="C459" s="344"/>
      <c r="D459" s="344" t="s">
        <v>2212</v>
      </c>
      <c r="E459" s="190" t="s">
        <v>87</v>
      </c>
      <c r="F459" s="183" t="s">
        <v>2223</v>
      </c>
      <c r="G459" s="183" t="s">
        <v>2224</v>
      </c>
      <c r="H459" s="184">
        <v>102071005777</v>
      </c>
      <c r="I459" s="185" t="s">
        <v>2225</v>
      </c>
      <c r="J459" s="146" t="s">
        <v>2226</v>
      </c>
      <c r="K459" s="247"/>
      <c r="L459" s="186">
        <v>44195</v>
      </c>
      <c r="M459" s="192">
        <v>2650000</v>
      </c>
    </row>
    <row r="460" spans="1:13" hidden="1" x14ac:dyDescent="0.25">
      <c r="A460" s="344"/>
      <c r="B460" s="344" t="s">
        <v>2038</v>
      </c>
      <c r="C460" s="344"/>
      <c r="D460" s="344" t="s">
        <v>2222</v>
      </c>
      <c r="E460" s="190" t="s">
        <v>87</v>
      </c>
      <c r="F460" s="183" t="s">
        <v>2227</v>
      </c>
      <c r="G460" s="183" t="s">
        <v>2228</v>
      </c>
      <c r="H460" s="184">
        <v>101251179340</v>
      </c>
      <c r="I460" s="185" t="s">
        <v>2229</v>
      </c>
      <c r="J460" s="146" t="s">
        <v>2230</v>
      </c>
      <c r="K460" s="247"/>
      <c r="L460" s="186">
        <v>44198</v>
      </c>
      <c r="M460" s="192"/>
    </row>
    <row r="461" spans="1:13" hidden="1" x14ac:dyDescent="0.25">
      <c r="A461" s="344"/>
      <c r="B461" s="344" t="s">
        <v>2231</v>
      </c>
      <c r="C461" s="344"/>
      <c r="D461" s="344" t="s">
        <v>2232</v>
      </c>
      <c r="E461" s="190" t="s">
        <v>435</v>
      </c>
      <c r="F461" s="183" t="s">
        <v>623</v>
      </c>
      <c r="G461" s="183" t="s">
        <v>2233</v>
      </c>
      <c r="H461" s="184">
        <v>101251194702</v>
      </c>
      <c r="I461" s="185" t="s">
        <v>625</v>
      </c>
      <c r="J461" s="146" t="s">
        <v>1493</v>
      </c>
      <c r="K461" s="247"/>
      <c r="L461" s="186">
        <v>44202</v>
      </c>
      <c r="M461" s="192">
        <v>3800000</v>
      </c>
    </row>
    <row r="462" spans="1:13" hidden="1" x14ac:dyDescent="0.25">
      <c r="A462" s="344"/>
      <c r="B462" s="344" t="s">
        <v>2030</v>
      </c>
      <c r="C462" s="344"/>
      <c r="D462" s="344" t="s">
        <v>2234</v>
      </c>
      <c r="E462" s="190" t="s">
        <v>87</v>
      </c>
      <c r="F462" s="183" t="s">
        <v>2235</v>
      </c>
      <c r="G462" s="183" t="s">
        <v>2236</v>
      </c>
      <c r="H462" s="184">
        <v>102371008068</v>
      </c>
      <c r="I462" s="185" t="s">
        <v>2237</v>
      </c>
      <c r="J462" s="146" t="s">
        <v>2238</v>
      </c>
      <c r="K462" s="247"/>
      <c r="L462" s="186">
        <v>44209</v>
      </c>
      <c r="M462" s="192">
        <v>3000000</v>
      </c>
    </row>
    <row r="463" spans="1:13" hidden="1" x14ac:dyDescent="0.25">
      <c r="A463" s="344"/>
      <c r="B463" s="344" t="s">
        <v>2053</v>
      </c>
      <c r="C463" s="344">
        <v>371</v>
      </c>
      <c r="D463" s="344"/>
      <c r="E463" s="190" t="s">
        <v>434</v>
      </c>
      <c r="F463" s="183" t="s">
        <v>2240</v>
      </c>
      <c r="G463" s="183" t="s">
        <v>2241</v>
      </c>
      <c r="H463" s="184">
        <v>101231034135</v>
      </c>
      <c r="I463" s="185" t="s">
        <v>2242</v>
      </c>
      <c r="J463" s="146" t="s">
        <v>2243</v>
      </c>
      <c r="K463" s="247"/>
      <c r="L463" s="186">
        <v>44210</v>
      </c>
      <c r="M463" s="192">
        <v>3700000</v>
      </c>
    </row>
    <row r="464" spans="1:13" hidden="1" x14ac:dyDescent="0.25">
      <c r="A464" s="344"/>
      <c r="B464" s="344" t="s">
        <v>2244</v>
      </c>
      <c r="C464" s="344">
        <v>372</v>
      </c>
      <c r="D464" s="344"/>
      <c r="E464" s="190" t="s">
        <v>87</v>
      </c>
      <c r="F464" s="183" t="s">
        <v>2245</v>
      </c>
      <c r="G464" s="183" t="s">
        <v>2246</v>
      </c>
      <c r="H464" s="184">
        <v>102031025873</v>
      </c>
      <c r="I464" s="185" t="s">
        <v>2247</v>
      </c>
      <c r="J464" s="146" t="s">
        <v>2252</v>
      </c>
      <c r="K464" s="247"/>
      <c r="L464" s="186">
        <v>44209</v>
      </c>
      <c r="M464" s="192">
        <v>2700000</v>
      </c>
    </row>
    <row r="465" spans="1:13" x14ac:dyDescent="0.25">
      <c r="A465" s="344"/>
      <c r="B465" s="344" t="s">
        <v>2248</v>
      </c>
      <c r="C465" s="344">
        <v>373</v>
      </c>
      <c r="D465" s="344"/>
      <c r="E465" s="190" t="s">
        <v>1034</v>
      </c>
      <c r="F465" s="183" t="s">
        <v>2249</v>
      </c>
      <c r="G465" s="183" t="s">
        <v>2250</v>
      </c>
      <c r="H465" s="184">
        <v>114051011979</v>
      </c>
      <c r="I465" s="185" t="s">
        <v>2251</v>
      </c>
      <c r="J465" s="146" t="s">
        <v>2253</v>
      </c>
      <c r="K465" s="247"/>
      <c r="L465" s="186">
        <v>44209</v>
      </c>
      <c r="M465" s="192">
        <v>1050000</v>
      </c>
    </row>
    <row r="466" spans="1:13" hidden="1" x14ac:dyDescent="0.25">
      <c r="A466" s="344">
        <v>294</v>
      </c>
      <c r="B466" s="344" t="s">
        <v>2063</v>
      </c>
      <c r="C466" s="344">
        <v>374</v>
      </c>
      <c r="D466" s="344"/>
      <c r="E466" s="190" t="s">
        <v>436</v>
      </c>
      <c r="F466" s="183" t="s">
        <v>2254</v>
      </c>
      <c r="G466" s="183" t="s">
        <v>2255</v>
      </c>
      <c r="H466" s="184">
        <v>117011012728</v>
      </c>
      <c r="I466" s="185" t="s">
        <v>2256</v>
      </c>
      <c r="J466" s="146" t="s">
        <v>2257</v>
      </c>
      <c r="K466" s="247"/>
      <c r="L466" s="186">
        <v>44211</v>
      </c>
      <c r="M466" s="192">
        <v>3200000</v>
      </c>
    </row>
    <row r="467" spans="1:13" hidden="1" x14ac:dyDescent="0.25">
      <c r="A467" s="344"/>
      <c r="B467" s="344" t="s">
        <v>2044</v>
      </c>
      <c r="C467" s="344">
        <v>375</v>
      </c>
      <c r="D467" s="344" t="s">
        <v>2220</v>
      </c>
      <c r="E467" s="190" t="s">
        <v>87</v>
      </c>
      <c r="F467" s="183" t="s">
        <v>2259</v>
      </c>
      <c r="G467" s="183" t="s">
        <v>2260</v>
      </c>
      <c r="H467" s="184">
        <v>101252211610</v>
      </c>
      <c r="I467" s="185" t="s">
        <v>2261</v>
      </c>
      <c r="J467" s="146" t="s">
        <v>2262</v>
      </c>
      <c r="K467" s="247"/>
      <c r="L467" s="186">
        <v>44215</v>
      </c>
      <c r="M467" s="192">
        <v>3300000</v>
      </c>
    </row>
    <row r="468" spans="1:13" hidden="1" x14ac:dyDescent="0.25">
      <c r="A468" s="344"/>
      <c r="B468" s="344" t="s">
        <v>2057</v>
      </c>
      <c r="C468" s="344">
        <v>376</v>
      </c>
      <c r="D468" s="344"/>
      <c r="E468" s="190" t="s">
        <v>434</v>
      </c>
      <c r="F468" s="183" t="s">
        <v>2263</v>
      </c>
      <c r="G468" s="183" t="s">
        <v>2264</v>
      </c>
      <c r="H468" s="184">
        <v>201031035482</v>
      </c>
      <c r="I468" s="185" t="s">
        <v>2265</v>
      </c>
      <c r="J468" s="146" t="s">
        <v>2266</v>
      </c>
      <c r="K468" s="247"/>
      <c r="L468" s="186">
        <v>44215</v>
      </c>
      <c r="M468" s="192">
        <v>3250000</v>
      </c>
    </row>
    <row r="469" spans="1:13" hidden="1" x14ac:dyDescent="0.25">
      <c r="A469" s="344"/>
      <c r="B469" s="344" t="s">
        <v>2064</v>
      </c>
      <c r="C469" s="344">
        <v>377</v>
      </c>
      <c r="D469" s="344"/>
      <c r="E469" s="190" t="s">
        <v>436</v>
      </c>
      <c r="F469" s="183" t="s">
        <v>2267</v>
      </c>
      <c r="G469" s="183" t="s">
        <v>2268</v>
      </c>
      <c r="H469" s="184">
        <v>117071022259</v>
      </c>
      <c r="I469" s="185" t="s">
        <v>2269</v>
      </c>
      <c r="J469" s="146" t="s">
        <v>2270</v>
      </c>
      <c r="K469" s="247"/>
      <c r="L469" s="186">
        <v>44215</v>
      </c>
      <c r="M469" s="192">
        <v>3080000</v>
      </c>
    </row>
    <row r="470" spans="1:13" hidden="1" x14ac:dyDescent="0.25">
      <c r="A470" s="344"/>
      <c r="B470" s="344" t="s">
        <v>2026</v>
      </c>
      <c r="C470" s="344">
        <v>378</v>
      </c>
      <c r="D470" s="344"/>
      <c r="E470" s="190" t="s">
        <v>434</v>
      </c>
      <c r="F470" s="183" t="s">
        <v>2271</v>
      </c>
      <c r="G470" s="183" t="s">
        <v>2272</v>
      </c>
      <c r="H470" s="184">
        <v>211091011091</v>
      </c>
      <c r="I470" s="185" t="s">
        <v>2273</v>
      </c>
      <c r="J470" s="146" t="s">
        <v>3087</v>
      </c>
      <c r="K470" s="247"/>
      <c r="L470" s="186">
        <v>44215</v>
      </c>
      <c r="M470" s="192">
        <v>3500000</v>
      </c>
    </row>
    <row r="471" spans="1:13" hidden="1" x14ac:dyDescent="0.25">
      <c r="A471" s="344">
        <v>203</v>
      </c>
      <c r="B471" s="344" t="s">
        <v>1305</v>
      </c>
      <c r="C471" s="344">
        <v>379</v>
      </c>
      <c r="D471" s="344"/>
      <c r="E471" s="190" t="s">
        <v>1568</v>
      </c>
      <c r="F471" s="183" t="s">
        <v>1834</v>
      </c>
      <c r="G471" s="183" t="s">
        <v>2274</v>
      </c>
      <c r="H471" s="184">
        <v>101981112904</v>
      </c>
      <c r="I471" s="185" t="s">
        <v>2275</v>
      </c>
      <c r="J471" s="146" t="s">
        <v>2276</v>
      </c>
      <c r="K471" s="247"/>
      <c r="L471" s="186">
        <v>44216</v>
      </c>
      <c r="M471" s="192">
        <v>6000000</v>
      </c>
    </row>
    <row r="472" spans="1:13" hidden="1" x14ac:dyDescent="0.25">
      <c r="A472" s="344"/>
      <c r="B472" s="344" t="s">
        <v>2289</v>
      </c>
      <c r="C472" s="344"/>
      <c r="D472" s="344" t="s">
        <v>2290</v>
      </c>
      <c r="E472" s="190" t="s">
        <v>434</v>
      </c>
      <c r="F472" s="183" t="s">
        <v>63</v>
      </c>
      <c r="G472" s="183" t="s">
        <v>2291</v>
      </c>
      <c r="H472" s="184">
        <v>102071006733</v>
      </c>
      <c r="I472" s="185" t="s">
        <v>2292</v>
      </c>
      <c r="J472" s="146" t="s">
        <v>2293</v>
      </c>
      <c r="K472" s="247"/>
      <c r="L472" s="186">
        <v>44216</v>
      </c>
      <c r="M472" s="192">
        <v>3200000</v>
      </c>
    </row>
    <row r="473" spans="1:13" hidden="1" x14ac:dyDescent="0.25">
      <c r="A473" s="344"/>
      <c r="B473" s="344" t="s">
        <v>2294</v>
      </c>
      <c r="C473" s="344"/>
      <c r="D473" s="344" t="s">
        <v>2295</v>
      </c>
      <c r="E473" s="190" t="s">
        <v>224</v>
      </c>
      <c r="F473" s="183" t="s">
        <v>2296</v>
      </c>
      <c r="G473" s="183" t="s">
        <v>624</v>
      </c>
      <c r="H473" s="184">
        <v>101151194702</v>
      </c>
      <c r="I473" s="185" t="s">
        <v>2297</v>
      </c>
      <c r="J473" s="146" t="s">
        <v>1493</v>
      </c>
      <c r="K473" s="247"/>
      <c r="L473" s="186">
        <v>44216</v>
      </c>
      <c r="M473" s="192">
        <v>2500000</v>
      </c>
    </row>
    <row r="474" spans="1:13" hidden="1" x14ac:dyDescent="0.25">
      <c r="A474" s="344"/>
      <c r="B474" s="344" t="s">
        <v>2281</v>
      </c>
      <c r="C474" s="344"/>
      <c r="D474" s="344" t="s">
        <v>2298</v>
      </c>
      <c r="E474" s="190" t="s">
        <v>28</v>
      </c>
      <c r="F474" s="183" t="s">
        <v>623</v>
      </c>
      <c r="G474" s="183" t="s">
        <v>624</v>
      </c>
      <c r="H474" s="184">
        <v>101151194702</v>
      </c>
      <c r="I474" s="185" t="s">
        <v>2297</v>
      </c>
      <c r="J474" s="146" t="s">
        <v>1493</v>
      </c>
      <c r="K474" s="247"/>
      <c r="L474" s="186">
        <v>44219</v>
      </c>
      <c r="M474" s="192">
        <v>2900000</v>
      </c>
    </row>
    <row r="475" spans="1:13" hidden="1" x14ac:dyDescent="0.25">
      <c r="A475" s="344"/>
      <c r="B475" s="344" t="s">
        <v>2030</v>
      </c>
      <c r="C475" s="344">
        <v>380</v>
      </c>
      <c r="D475" s="344"/>
      <c r="E475" s="190" t="s">
        <v>87</v>
      </c>
      <c r="F475" s="183" t="s">
        <v>2235</v>
      </c>
      <c r="G475" s="183" t="s">
        <v>2299</v>
      </c>
      <c r="H475" s="184">
        <v>401991040572</v>
      </c>
      <c r="I475" s="185" t="s">
        <v>2300</v>
      </c>
      <c r="J475" s="146" t="s">
        <v>2301</v>
      </c>
      <c r="K475" s="247"/>
      <c r="L475" s="186">
        <v>44217</v>
      </c>
      <c r="M475" s="192">
        <v>3800000</v>
      </c>
    </row>
    <row r="476" spans="1:13" hidden="1" x14ac:dyDescent="0.25">
      <c r="A476" s="344"/>
      <c r="B476" s="344" t="s">
        <v>1687</v>
      </c>
      <c r="C476" s="344">
        <v>381</v>
      </c>
      <c r="D476" s="344"/>
      <c r="E476" s="190" t="s">
        <v>435</v>
      </c>
      <c r="F476" s="183" t="s">
        <v>2302</v>
      </c>
      <c r="G476" s="183" t="s">
        <v>2303</v>
      </c>
      <c r="H476" s="184">
        <v>102031013214</v>
      </c>
      <c r="I476" s="185" t="s">
        <v>2304</v>
      </c>
      <c r="J476" s="146" t="s">
        <v>2305</v>
      </c>
      <c r="K476" s="247"/>
      <c r="L476" s="186">
        <v>44217</v>
      </c>
      <c r="M476" s="192">
        <v>3500000</v>
      </c>
    </row>
    <row r="477" spans="1:13" hidden="1" x14ac:dyDescent="0.25">
      <c r="A477" s="344"/>
      <c r="B477" s="344" t="s">
        <v>2283</v>
      </c>
      <c r="C477" s="344">
        <v>382</v>
      </c>
      <c r="D477" s="344"/>
      <c r="E477" s="190" t="s">
        <v>87</v>
      </c>
      <c r="F477" s="183" t="s">
        <v>907</v>
      </c>
      <c r="G477" s="183" t="s">
        <v>1317</v>
      </c>
      <c r="H477" s="184">
        <v>102031038419</v>
      </c>
      <c r="I477" s="185" t="s">
        <v>1318</v>
      </c>
      <c r="J477" s="146" t="s">
        <v>344</v>
      </c>
      <c r="K477" s="247"/>
      <c r="L477" s="186">
        <v>44218</v>
      </c>
      <c r="M477" s="192">
        <v>3000000</v>
      </c>
    </row>
    <row r="478" spans="1:13" hidden="1" x14ac:dyDescent="0.25">
      <c r="A478" s="344"/>
      <c r="B478" s="344" t="s">
        <v>2041</v>
      </c>
      <c r="C478" s="344">
        <v>383</v>
      </c>
      <c r="D478" s="344"/>
      <c r="E478" s="190" t="s">
        <v>87</v>
      </c>
      <c r="F478" s="183" t="s">
        <v>63</v>
      </c>
      <c r="G478" s="183" t="s">
        <v>2306</v>
      </c>
      <c r="H478" s="184">
        <v>101251120803</v>
      </c>
      <c r="I478" s="185" t="s">
        <v>2307</v>
      </c>
      <c r="J478" s="146" t="s">
        <v>2308</v>
      </c>
      <c r="K478" s="247"/>
      <c r="L478" s="186">
        <v>44218</v>
      </c>
      <c r="M478" s="192">
        <v>2900000</v>
      </c>
    </row>
    <row r="479" spans="1:13" hidden="1" x14ac:dyDescent="0.25">
      <c r="A479" s="344"/>
      <c r="B479" s="344" t="s">
        <v>2294</v>
      </c>
      <c r="C479" s="344">
        <v>384</v>
      </c>
      <c r="D479" s="344"/>
      <c r="E479" s="190" t="s">
        <v>224</v>
      </c>
      <c r="F479" s="183" t="s">
        <v>2309</v>
      </c>
      <c r="G479" s="183" t="s">
        <v>2310</v>
      </c>
      <c r="H479" s="184">
        <v>117071015204</v>
      </c>
      <c r="I479" s="185" t="s">
        <v>2311</v>
      </c>
      <c r="J479" s="146" t="s">
        <v>2312</v>
      </c>
      <c r="K479" s="247"/>
      <c r="L479" s="186">
        <v>44219</v>
      </c>
      <c r="M479" s="192">
        <v>2500000</v>
      </c>
    </row>
    <row r="480" spans="1:13" hidden="1" x14ac:dyDescent="0.25">
      <c r="A480" s="344"/>
      <c r="B480" s="344" t="s">
        <v>2285</v>
      </c>
      <c r="C480" s="344">
        <v>385</v>
      </c>
      <c r="D480" s="344"/>
      <c r="E480" s="190" t="s">
        <v>87</v>
      </c>
      <c r="F480" s="183" t="s">
        <v>2168</v>
      </c>
      <c r="G480" s="183" t="s">
        <v>2313</v>
      </c>
      <c r="H480" s="184">
        <v>101211186818</v>
      </c>
      <c r="I480" s="185" t="s">
        <v>2314</v>
      </c>
      <c r="J480" s="146" t="s">
        <v>2315</v>
      </c>
      <c r="K480" s="247"/>
      <c r="L480" s="186">
        <v>44219</v>
      </c>
      <c r="M480" s="192">
        <v>2430000</v>
      </c>
    </row>
    <row r="481" spans="1:13" hidden="1" x14ac:dyDescent="0.25">
      <c r="A481" s="344"/>
      <c r="B481" s="344" t="s">
        <v>2282</v>
      </c>
      <c r="C481" s="344">
        <v>386</v>
      </c>
      <c r="D481" s="344"/>
      <c r="E481" s="190" t="s">
        <v>87</v>
      </c>
      <c r="F481" s="183" t="s">
        <v>251</v>
      </c>
      <c r="G481" s="183" t="s">
        <v>2316</v>
      </c>
      <c r="H481" s="184">
        <v>107012009426</v>
      </c>
      <c r="I481" s="185" t="s">
        <v>2317</v>
      </c>
      <c r="J481" s="146" t="s">
        <v>2318</v>
      </c>
      <c r="K481" s="247"/>
      <c r="L481" s="186">
        <v>44219</v>
      </c>
      <c r="M481" s="192">
        <v>2430000</v>
      </c>
    </row>
    <row r="482" spans="1:13" hidden="1" x14ac:dyDescent="0.25">
      <c r="A482" s="344"/>
      <c r="B482" s="344">
        <v>375424</v>
      </c>
      <c r="C482" s="344">
        <v>387</v>
      </c>
      <c r="D482" s="344"/>
      <c r="E482" s="190" t="s">
        <v>2319</v>
      </c>
      <c r="F482" s="183" t="s">
        <v>1350</v>
      </c>
      <c r="G482" s="183" t="s">
        <v>2320</v>
      </c>
      <c r="H482" s="184">
        <v>106461009454</v>
      </c>
      <c r="I482" s="185" t="s">
        <v>2321</v>
      </c>
      <c r="J482" s="146" t="s">
        <v>2322</v>
      </c>
      <c r="K482" s="247"/>
      <c r="L482" s="186">
        <v>44219</v>
      </c>
      <c r="M482" s="192">
        <v>4100000</v>
      </c>
    </row>
    <row r="483" spans="1:13" hidden="1" x14ac:dyDescent="0.25">
      <c r="A483" s="344"/>
      <c r="B483" s="344" t="s">
        <v>2038</v>
      </c>
      <c r="C483" s="344">
        <v>388</v>
      </c>
      <c r="D483" s="344"/>
      <c r="E483" s="190" t="s">
        <v>87</v>
      </c>
      <c r="F483" s="183" t="s">
        <v>2118</v>
      </c>
      <c r="G483" s="183" t="s">
        <v>2323</v>
      </c>
      <c r="H483" s="184">
        <v>113031003541</v>
      </c>
      <c r="I483" s="185" t="s">
        <v>2324</v>
      </c>
      <c r="J483" s="146" t="s">
        <v>2328</v>
      </c>
      <c r="K483" s="247"/>
      <c r="L483" s="186">
        <v>44221</v>
      </c>
      <c r="M483" s="192">
        <v>3000000</v>
      </c>
    </row>
    <row r="484" spans="1:13" hidden="1" x14ac:dyDescent="0.25">
      <c r="A484" s="344">
        <v>307</v>
      </c>
      <c r="B484" s="344" t="s">
        <v>2286</v>
      </c>
      <c r="C484" s="344">
        <v>389</v>
      </c>
      <c r="D484" s="344"/>
      <c r="E484" s="190" t="s">
        <v>87</v>
      </c>
      <c r="F484" s="183" t="s">
        <v>2325</v>
      </c>
      <c r="G484" s="183" t="s">
        <v>2326</v>
      </c>
      <c r="H484" s="184">
        <v>102371009779</v>
      </c>
      <c r="I484" s="185" t="s">
        <v>2327</v>
      </c>
      <c r="J484" s="146" t="s">
        <v>2329</v>
      </c>
      <c r="K484" s="247"/>
      <c r="L484" s="186">
        <v>44222</v>
      </c>
      <c r="M484" s="192">
        <v>3000000</v>
      </c>
    </row>
    <row r="485" spans="1:13" hidden="1" x14ac:dyDescent="0.25">
      <c r="A485" s="344"/>
      <c r="B485" s="344" t="s">
        <v>2281</v>
      </c>
      <c r="C485" s="344">
        <v>390</v>
      </c>
      <c r="D485" s="344"/>
      <c r="E485" s="190" t="s">
        <v>87</v>
      </c>
      <c r="F485" s="183" t="s">
        <v>2332</v>
      </c>
      <c r="G485" s="183" t="s">
        <v>2333</v>
      </c>
      <c r="H485" s="184">
        <v>102271004253</v>
      </c>
      <c r="I485" s="185" t="s">
        <v>2334</v>
      </c>
      <c r="J485" s="146" t="s">
        <v>2335</v>
      </c>
      <c r="K485" s="247"/>
      <c r="L485" s="186">
        <v>44225</v>
      </c>
      <c r="M485" s="192">
        <v>2600000</v>
      </c>
    </row>
    <row r="486" spans="1:13" hidden="1" x14ac:dyDescent="0.25">
      <c r="A486" s="344"/>
      <c r="B486" s="344" t="s">
        <v>2279</v>
      </c>
      <c r="C486" s="344">
        <v>391</v>
      </c>
      <c r="D486" s="344"/>
      <c r="E486" s="190" t="s">
        <v>87</v>
      </c>
      <c r="F486" s="183" t="s">
        <v>2336</v>
      </c>
      <c r="G486" s="183" t="s">
        <v>2337</v>
      </c>
      <c r="H486" s="184">
        <v>103031003030</v>
      </c>
      <c r="I486" s="185" t="s">
        <v>2338</v>
      </c>
      <c r="J486" s="146" t="s">
        <v>2339</v>
      </c>
      <c r="K486" s="247"/>
      <c r="L486" s="186">
        <v>44225</v>
      </c>
      <c r="M486" s="192">
        <v>2080000</v>
      </c>
    </row>
    <row r="487" spans="1:13" hidden="1" x14ac:dyDescent="0.25">
      <c r="A487" s="344"/>
      <c r="B487" s="344" t="s">
        <v>2340</v>
      </c>
      <c r="C487" s="344">
        <v>392</v>
      </c>
      <c r="D487" s="344"/>
      <c r="E487" s="190" t="s">
        <v>434</v>
      </c>
      <c r="F487" s="183" t="s">
        <v>2341</v>
      </c>
      <c r="G487" s="183" t="s">
        <v>3735</v>
      </c>
      <c r="H487" s="184">
        <v>101251210971</v>
      </c>
      <c r="I487" s="185" t="s">
        <v>2342</v>
      </c>
      <c r="J487" s="146" t="s">
        <v>2343</v>
      </c>
      <c r="K487" s="247"/>
      <c r="L487" s="186">
        <v>44226</v>
      </c>
      <c r="M487" s="192">
        <v>4000000</v>
      </c>
    </row>
    <row r="488" spans="1:13" hidden="1" x14ac:dyDescent="0.25">
      <c r="A488" s="344"/>
      <c r="B488" s="344" t="s">
        <v>2344</v>
      </c>
      <c r="C488" s="344">
        <v>393</v>
      </c>
      <c r="D488" s="344"/>
      <c r="E488" s="190" t="s">
        <v>434</v>
      </c>
      <c r="F488" s="183" t="s">
        <v>2345</v>
      </c>
      <c r="G488" s="183" t="s">
        <v>2346</v>
      </c>
      <c r="H488" s="184">
        <v>101154017196</v>
      </c>
      <c r="I488" s="185" t="s">
        <v>2347</v>
      </c>
      <c r="J488" s="146" t="s">
        <v>2348</v>
      </c>
      <c r="K488" s="247"/>
      <c r="L488" s="186">
        <v>44226</v>
      </c>
      <c r="M488" s="192">
        <v>4000000</v>
      </c>
    </row>
    <row r="489" spans="1:13" hidden="1" x14ac:dyDescent="0.25">
      <c r="A489" s="344"/>
      <c r="B489" s="344" t="s">
        <v>2287</v>
      </c>
      <c r="C489" s="344">
        <v>394</v>
      </c>
      <c r="D489" s="344"/>
      <c r="E489" s="190" t="s">
        <v>87</v>
      </c>
      <c r="F489" s="183" t="s">
        <v>2349</v>
      </c>
      <c r="G489" s="183" t="s">
        <v>2350</v>
      </c>
      <c r="H489" s="184">
        <v>117121010352</v>
      </c>
      <c r="I489" s="185" t="s">
        <v>2351</v>
      </c>
      <c r="J489" s="146" t="s">
        <v>2352</v>
      </c>
      <c r="K489" s="247"/>
      <c r="L489" s="186">
        <v>44226</v>
      </c>
      <c r="M489" s="192">
        <v>2600000</v>
      </c>
    </row>
    <row r="490" spans="1:13" hidden="1" x14ac:dyDescent="0.25">
      <c r="A490" s="344" t="s">
        <v>2365</v>
      </c>
      <c r="B490" s="344" t="s">
        <v>2353</v>
      </c>
      <c r="C490" s="344">
        <v>395</v>
      </c>
      <c r="D490" s="344"/>
      <c r="E490" s="190" t="s">
        <v>434</v>
      </c>
      <c r="F490" s="183" t="s">
        <v>1765</v>
      </c>
      <c r="G490" s="183" t="s">
        <v>2354</v>
      </c>
      <c r="H490" s="184">
        <v>517011006438</v>
      </c>
      <c r="I490" s="185" t="s">
        <v>2355</v>
      </c>
      <c r="J490" s="146" t="s">
        <v>2356</v>
      </c>
      <c r="K490" s="247"/>
      <c r="L490" s="186">
        <v>44228</v>
      </c>
      <c r="M490" s="192">
        <v>2900000</v>
      </c>
    </row>
    <row r="491" spans="1:13" hidden="1" x14ac:dyDescent="0.25">
      <c r="A491" s="344"/>
      <c r="B491" s="344" t="s">
        <v>2357</v>
      </c>
      <c r="C491" s="344">
        <v>396</v>
      </c>
      <c r="D491" s="344"/>
      <c r="E491" s="190" t="s">
        <v>87</v>
      </c>
      <c r="F491" s="183" t="s">
        <v>2358</v>
      </c>
      <c r="G491" s="183" t="s">
        <v>2359</v>
      </c>
      <c r="H491" s="184">
        <v>101251181974</v>
      </c>
      <c r="I491" s="185" t="s">
        <v>2360</v>
      </c>
      <c r="J491" s="146"/>
      <c r="K491" s="247"/>
      <c r="L491" s="186">
        <v>44229</v>
      </c>
      <c r="M491" s="192">
        <v>2500000</v>
      </c>
    </row>
    <row r="492" spans="1:13" hidden="1" x14ac:dyDescent="0.25">
      <c r="A492" s="344"/>
      <c r="B492" s="344" t="s">
        <v>2278</v>
      </c>
      <c r="C492" s="344"/>
      <c r="D492" s="344" t="s">
        <v>2361</v>
      </c>
      <c r="E492" s="190" t="s">
        <v>87</v>
      </c>
      <c r="F492" s="183" t="s">
        <v>1405</v>
      </c>
      <c r="G492" s="183" t="s">
        <v>2362</v>
      </c>
      <c r="H492" s="184">
        <v>101251196018</v>
      </c>
      <c r="I492" s="185" t="s">
        <v>2363</v>
      </c>
      <c r="J492" s="146" t="s">
        <v>2364</v>
      </c>
      <c r="K492" s="247"/>
      <c r="L492" s="186">
        <v>44225</v>
      </c>
      <c r="M492" s="192">
        <v>2650000</v>
      </c>
    </row>
    <row r="493" spans="1:13" hidden="1" x14ac:dyDescent="0.25">
      <c r="A493" s="344"/>
      <c r="B493" s="344" t="s">
        <v>2383</v>
      </c>
      <c r="C493" s="344">
        <v>397</v>
      </c>
      <c r="D493" s="344"/>
      <c r="E493" s="190" t="s">
        <v>435</v>
      </c>
      <c r="F493" s="183" t="s">
        <v>2379</v>
      </c>
      <c r="G493" s="183" t="s">
        <v>2380</v>
      </c>
      <c r="H493" s="184">
        <v>101211228899</v>
      </c>
      <c r="I493" s="185" t="s">
        <v>2381</v>
      </c>
      <c r="J493" s="146" t="s">
        <v>2382</v>
      </c>
      <c r="K493" s="247"/>
      <c r="L493" s="186">
        <v>44231</v>
      </c>
      <c r="M493" s="192" t="s">
        <v>2389</v>
      </c>
    </row>
    <row r="494" spans="1:13" hidden="1" x14ac:dyDescent="0.25">
      <c r="A494" s="344"/>
      <c r="B494" s="344" t="s">
        <v>2384</v>
      </c>
      <c r="C494" s="344">
        <v>398</v>
      </c>
      <c r="D494" s="344"/>
      <c r="E494" s="190" t="s">
        <v>28</v>
      </c>
      <c r="F494" s="183" t="s">
        <v>2385</v>
      </c>
      <c r="G494" s="183" t="s">
        <v>2386</v>
      </c>
      <c r="H494" s="184">
        <v>103051010498</v>
      </c>
      <c r="I494" s="185" t="s">
        <v>2387</v>
      </c>
      <c r="J494" s="146" t="s">
        <v>2388</v>
      </c>
      <c r="K494" s="247"/>
      <c r="L494" s="186">
        <v>44230</v>
      </c>
      <c r="M494" s="192" t="s">
        <v>2390</v>
      </c>
    </row>
    <row r="495" spans="1:13" hidden="1" x14ac:dyDescent="0.25">
      <c r="A495" s="344"/>
      <c r="B495" s="344" t="s">
        <v>1844</v>
      </c>
      <c r="C495" s="344">
        <v>399</v>
      </c>
      <c r="D495" s="344"/>
      <c r="E495" s="190" t="s">
        <v>87</v>
      </c>
      <c r="F495" s="183" t="s">
        <v>2391</v>
      </c>
      <c r="G495" s="183" t="s">
        <v>2392</v>
      </c>
      <c r="H495" s="184">
        <v>201071004609</v>
      </c>
      <c r="I495" s="185" t="s">
        <v>2393</v>
      </c>
      <c r="J495" s="146" t="s">
        <v>2394</v>
      </c>
      <c r="K495" s="247"/>
      <c r="L495" s="186">
        <v>44231</v>
      </c>
      <c r="M495" s="192" t="s">
        <v>2399</v>
      </c>
    </row>
    <row r="496" spans="1:13" hidden="1" x14ac:dyDescent="0.25">
      <c r="A496" s="344"/>
      <c r="B496" s="344" t="s">
        <v>2395</v>
      </c>
      <c r="C496" s="344">
        <v>400</v>
      </c>
      <c r="D496" s="211"/>
      <c r="E496" s="490" t="s">
        <v>87</v>
      </c>
      <c r="F496" s="360" t="s">
        <v>2396</v>
      </c>
      <c r="G496" s="183" t="s">
        <v>2397</v>
      </c>
      <c r="H496" s="184">
        <v>108111007101</v>
      </c>
      <c r="I496" s="185" t="s">
        <v>2398</v>
      </c>
      <c r="J496" s="146" t="s">
        <v>2402</v>
      </c>
      <c r="K496" s="247"/>
      <c r="L496" s="186">
        <v>44232</v>
      </c>
      <c r="M496" s="192" t="s">
        <v>2400</v>
      </c>
    </row>
    <row r="497" spans="1:13" hidden="1" x14ac:dyDescent="0.25">
      <c r="A497" s="211"/>
      <c r="B497" s="211" t="s">
        <v>2037</v>
      </c>
      <c r="C497" s="211">
        <v>401</v>
      </c>
      <c r="D497" s="211"/>
      <c r="E497" s="490" t="s">
        <v>87</v>
      </c>
      <c r="F497" s="360" t="s">
        <v>2406</v>
      </c>
      <c r="G497" s="183" t="s">
        <v>2405</v>
      </c>
      <c r="H497" s="184">
        <v>101231149413</v>
      </c>
      <c r="I497" s="185" t="s">
        <v>2404</v>
      </c>
      <c r="J497" s="146" t="s">
        <v>2403</v>
      </c>
      <c r="K497" s="247"/>
      <c r="L497" s="186">
        <v>44233</v>
      </c>
      <c r="M497" s="192" t="s">
        <v>2401</v>
      </c>
    </row>
    <row r="498" spans="1:13" hidden="1" x14ac:dyDescent="0.25">
      <c r="A498" s="344"/>
      <c r="B498" s="344" t="s">
        <v>2434</v>
      </c>
      <c r="C498" s="344">
        <v>403</v>
      </c>
      <c r="D498" s="344"/>
      <c r="E498" s="190" t="s">
        <v>87</v>
      </c>
      <c r="F498" s="183" t="s">
        <v>2435</v>
      </c>
      <c r="G498" s="183" t="s">
        <v>2436</v>
      </c>
      <c r="H498" s="184">
        <v>102071013185</v>
      </c>
      <c r="I498" s="185" t="s">
        <v>2437</v>
      </c>
      <c r="J498" s="480" t="s">
        <v>2438</v>
      </c>
      <c r="K498" s="247"/>
      <c r="L498" s="481">
        <v>44235</v>
      </c>
      <c r="M498" s="482">
        <v>2600000</v>
      </c>
    </row>
    <row r="499" spans="1:13" hidden="1" x14ac:dyDescent="0.25">
      <c r="A499" s="344"/>
      <c r="B499" s="344" t="s">
        <v>2289</v>
      </c>
      <c r="C499" s="344">
        <v>404</v>
      </c>
      <c r="D499" s="344"/>
      <c r="E499" s="190" t="s">
        <v>435</v>
      </c>
      <c r="F499" s="183" t="s">
        <v>2118</v>
      </c>
      <c r="G499" s="183" t="s">
        <v>2407</v>
      </c>
      <c r="H499" s="184">
        <v>201099022437</v>
      </c>
      <c r="I499" s="185" t="s">
        <v>2408</v>
      </c>
      <c r="J499" s="146" t="s">
        <v>2409</v>
      </c>
      <c r="K499" s="247"/>
      <c r="L499" s="186">
        <v>44235</v>
      </c>
      <c r="M499" s="192" t="s">
        <v>2410</v>
      </c>
    </row>
    <row r="500" spans="1:13" hidden="1" x14ac:dyDescent="0.25">
      <c r="A500" s="344"/>
      <c r="B500" s="344" t="s">
        <v>2048</v>
      </c>
      <c r="C500" s="344">
        <v>405</v>
      </c>
      <c r="D500" s="344"/>
      <c r="E500" s="190" t="s">
        <v>87</v>
      </c>
      <c r="F500" s="183" t="s">
        <v>2416</v>
      </c>
      <c r="G500" s="183" t="s">
        <v>2415</v>
      </c>
      <c r="H500" s="184">
        <v>106441015274</v>
      </c>
      <c r="I500" s="185" t="s">
        <v>2414</v>
      </c>
      <c r="J500" s="146" t="s">
        <v>2413</v>
      </c>
      <c r="K500" s="247"/>
      <c r="L500" s="186" t="s">
        <v>2412</v>
      </c>
      <c r="M500" s="192" t="s">
        <v>2411</v>
      </c>
    </row>
    <row r="501" spans="1:13" hidden="1" x14ac:dyDescent="0.25">
      <c r="A501" s="344"/>
      <c r="B501" s="344" t="s">
        <v>2370</v>
      </c>
      <c r="C501" s="344"/>
      <c r="D501" s="344" t="s">
        <v>2427</v>
      </c>
      <c r="E501" s="190" t="s">
        <v>28</v>
      </c>
      <c r="F501" s="183" t="s">
        <v>2428</v>
      </c>
      <c r="G501" s="183" t="s">
        <v>624</v>
      </c>
      <c r="H501" s="184">
        <v>101151194702</v>
      </c>
      <c r="I501" s="185" t="s">
        <v>2429</v>
      </c>
      <c r="J501" s="146" t="s">
        <v>1493</v>
      </c>
      <c r="K501" s="247"/>
      <c r="L501" s="186">
        <v>44232</v>
      </c>
      <c r="M501" s="192"/>
    </row>
    <row r="502" spans="1:13" hidden="1" x14ac:dyDescent="0.25">
      <c r="A502" s="504" t="s">
        <v>2682</v>
      </c>
      <c r="B502" s="504" t="s">
        <v>2376</v>
      </c>
      <c r="C502" s="504"/>
      <c r="D502" s="504" t="s">
        <v>2430</v>
      </c>
      <c r="E502" s="505" t="s">
        <v>435</v>
      </c>
      <c r="F502" s="506" t="s">
        <v>2431</v>
      </c>
      <c r="G502" s="506" t="s">
        <v>1640</v>
      </c>
      <c r="H502" s="507">
        <v>117121018674</v>
      </c>
      <c r="I502" s="508" t="s">
        <v>2432</v>
      </c>
      <c r="J502" s="509" t="s">
        <v>1642</v>
      </c>
      <c r="K502" s="510"/>
      <c r="L502" s="511">
        <v>44233</v>
      </c>
      <c r="M502" s="512">
        <v>3500000</v>
      </c>
    </row>
    <row r="503" spans="1:13" hidden="1" x14ac:dyDescent="0.25">
      <c r="A503" s="344"/>
      <c r="B503" s="344" t="s">
        <v>2374</v>
      </c>
      <c r="C503" s="344"/>
      <c r="D503" s="344" t="s">
        <v>2433</v>
      </c>
      <c r="E503" s="190" t="s">
        <v>87</v>
      </c>
      <c r="F503" s="183" t="s">
        <v>623</v>
      </c>
      <c r="G503" s="183" t="s">
        <v>624</v>
      </c>
      <c r="H503" s="184">
        <v>101251194702</v>
      </c>
      <c r="I503" s="185" t="s">
        <v>2219</v>
      </c>
      <c r="J503" s="146" t="s">
        <v>1493</v>
      </c>
      <c r="K503" s="247"/>
      <c r="L503" s="186">
        <v>44236</v>
      </c>
      <c r="M503" s="192">
        <v>2800000</v>
      </c>
    </row>
    <row r="504" spans="1:13" hidden="1" x14ac:dyDescent="0.25">
      <c r="A504" s="344"/>
      <c r="B504" s="344" t="s">
        <v>2439</v>
      </c>
      <c r="C504" s="344">
        <v>406</v>
      </c>
      <c r="D504" s="344"/>
      <c r="E504" s="190" t="s">
        <v>224</v>
      </c>
      <c r="F504" s="183" t="s">
        <v>2440</v>
      </c>
      <c r="G504" s="183" t="s">
        <v>2441</v>
      </c>
      <c r="H504" s="184">
        <v>102312006404</v>
      </c>
      <c r="I504" s="185" t="s">
        <v>2442</v>
      </c>
      <c r="J504" s="146" t="s">
        <v>2443</v>
      </c>
      <c r="K504" s="247"/>
      <c r="L504" s="186">
        <v>44235</v>
      </c>
      <c r="M504" s="192">
        <v>2400000</v>
      </c>
    </row>
    <row r="505" spans="1:13" hidden="1" x14ac:dyDescent="0.25">
      <c r="A505" s="344"/>
      <c r="B505" s="344" t="s">
        <v>2444</v>
      </c>
      <c r="C505" s="344">
        <v>407</v>
      </c>
      <c r="D505" s="344"/>
      <c r="E505" s="190" t="s">
        <v>1483</v>
      </c>
      <c r="F505" s="183" t="s">
        <v>2445</v>
      </c>
      <c r="G505" s="183" t="s">
        <v>2446</v>
      </c>
      <c r="H505" s="184">
        <v>101211203412</v>
      </c>
      <c r="I505" s="185" t="s">
        <v>2447</v>
      </c>
      <c r="J505" s="146" t="s">
        <v>2448</v>
      </c>
      <c r="K505" s="247"/>
      <c r="L505" s="186">
        <v>44236</v>
      </c>
      <c r="M505" s="192">
        <v>1100000</v>
      </c>
    </row>
    <row r="506" spans="1:13" hidden="1" x14ac:dyDescent="0.25">
      <c r="A506" s="344"/>
      <c r="B506" s="344" t="s">
        <v>2370</v>
      </c>
      <c r="C506" s="344">
        <v>408</v>
      </c>
      <c r="D506" s="344"/>
      <c r="E506" s="190" t="s">
        <v>87</v>
      </c>
      <c r="F506" s="183" t="s">
        <v>2449</v>
      </c>
      <c r="G506" s="183" t="s">
        <v>2450</v>
      </c>
      <c r="H506" s="184">
        <v>101211130298</v>
      </c>
      <c r="I506" s="185" t="s">
        <v>2451</v>
      </c>
      <c r="J506" s="146" t="s">
        <v>2452</v>
      </c>
      <c r="K506" s="247"/>
      <c r="L506" s="186">
        <v>44236</v>
      </c>
      <c r="M506" s="192">
        <v>2550000</v>
      </c>
    </row>
    <row r="507" spans="1:13" hidden="1" x14ac:dyDescent="0.25">
      <c r="A507" s="344"/>
      <c r="B507" s="344" t="s">
        <v>2374</v>
      </c>
      <c r="C507" s="344">
        <v>409</v>
      </c>
      <c r="D507" s="344"/>
      <c r="E507" s="190" t="s">
        <v>87</v>
      </c>
      <c r="F507" s="183" t="s">
        <v>2453</v>
      </c>
      <c r="G507" s="183" t="s">
        <v>2454</v>
      </c>
      <c r="H507" s="184">
        <v>110372901082</v>
      </c>
      <c r="I507" s="185" t="s">
        <v>2455</v>
      </c>
      <c r="J507" s="146" t="s">
        <v>2456</v>
      </c>
      <c r="K507" s="247"/>
      <c r="L507" s="186">
        <v>44238</v>
      </c>
      <c r="M507" s="192">
        <v>2550000</v>
      </c>
    </row>
    <row r="508" spans="1:13" hidden="1" x14ac:dyDescent="0.25">
      <c r="A508" s="344"/>
      <c r="B508" s="344" t="s">
        <v>2421</v>
      </c>
      <c r="C508" s="344">
        <v>410</v>
      </c>
      <c r="D508" s="344"/>
      <c r="E508" s="190" t="s">
        <v>435</v>
      </c>
      <c r="F508" s="183" t="s">
        <v>2457</v>
      </c>
      <c r="G508" s="183" t="s">
        <v>2458</v>
      </c>
      <c r="H508" s="184">
        <v>101232098798</v>
      </c>
      <c r="I508" s="185" t="s">
        <v>2459</v>
      </c>
      <c r="J508" s="146" t="s">
        <v>2460</v>
      </c>
      <c r="K508" s="247"/>
      <c r="L508" s="186">
        <v>44238</v>
      </c>
      <c r="M508" s="192">
        <v>3500000</v>
      </c>
    </row>
    <row r="509" spans="1:13" hidden="1" x14ac:dyDescent="0.25">
      <c r="A509" s="344"/>
      <c r="B509" s="344" t="s">
        <v>2461</v>
      </c>
      <c r="C509" s="344">
        <v>411</v>
      </c>
      <c r="D509" s="344"/>
      <c r="E509" s="190" t="s">
        <v>2462</v>
      </c>
      <c r="F509" s="183" t="s">
        <v>2463</v>
      </c>
      <c r="G509" s="183" t="s">
        <v>2464</v>
      </c>
      <c r="H509" s="184">
        <v>101211121244</v>
      </c>
      <c r="I509" s="185" t="s">
        <v>2459</v>
      </c>
      <c r="J509" s="146" t="s">
        <v>2465</v>
      </c>
      <c r="K509" s="247"/>
      <c r="L509" s="186">
        <v>44238</v>
      </c>
      <c r="M509" s="192">
        <v>2200000</v>
      </c>
    </row>
    <row r="510" spans="1:13" hidden="1" x14ac:dyDescent="0.25">
      <c r="A510" s="344"/>
      <c r="B510" s="344" t="s">
        <v>2417</v>
      </c>
      <c r="C510" s="344">
        <v>412</v>
      </c>
      <c r="D510" s="344"/>
      <c r="E510" s="190" t="s">
        <v>435</v>
      </c>
      <c r="F510" s="183" t="s">
        <v>2466</v>
      </c>
      <c r="G510" s="183" t="s">
        <v>2467</v>
      </c>
      <c r="H510" s="184">
        <v>101211109411</v>
      </c>
      <c r="I510" s="185" t="s">
        <v>2468</v>
      </c>
      <c r="J510" s="146" t="s">
        <v>2469</v>
      </c>
      <c r="K510" s="247"/>
      <c r="L510" s="186">
        <v>44238</v>
      </c>
      <c r="M510" s="192">
        <v>3550000</v>
      </c>
    </row>
    <row r="511" spans="1:13" hidden="1" x14ac:dyDescent="0.25">
      <c r="A511" s="344"/>
      <c r="B511" s="344" t="s">
        <v>2422</v>
      </c>
      <c r="C511" s="344">
        <v>413</v>
      </c>
      <c r="D511" s="344"/>
      <c r="E511" s="190" t="s">
        <v>435</v>
      </c>
      <c r="F511" s="183" t="s">
        <v>2470</v>
      </c>
      <c r="G511" s="183" t="s">
        <v>2471</v>
      </c>
      <c r="H511" s="184">
        <v>101241154001</v>
      </c>
      <c r="I511" s="185" t="s">
        <v>2472</v>
      </c>
      <c r="J511" s="146" t="s">
        <v>2473</v>
      </c>
      <c r="K511" s="247"/>
      <c r="L511" s="186">
        <v>44238</v>
      </c>
      <c r="M511" s="192">
        <v>3500000</v>
      </c>
    </row>
    <row r="512" spans="1:13" hidden="1" x14ac:dyDescent="0.25">
      <c r="A512" s="344"/>
      <c r="B512" s="344" t="s">
        <v>2474</v>
      </c>
      <c r="C512" s="344">
        <v>414</v>
      </c>
      <c r="D512" s="344"/>
      <c r="E512" s="190" t="s">
        <v>309</v>
      </c>
      <c r="F512" s="183" t="s">
        <v>2475</v>
      </c>
      <c r="G512" s="183" t="s">
        <v>2476</v>
      </c>
      <c r="H512" s="184">
        <v>307011002544</v>
      </c>
      <c r="I512" s="185" t="s">
        <v>2477</v>
      </c>
      <c r="J512" s="146"/>
      <c r="K512" s="247"/>
      <c r="L512" s="186">
        <v>44238</v>
      </c>
      <c r="M512" s="192">
        <v>3100000</v>
      </c>
    </row>
    <row r="513" spans="1:13" hidden="1" x14ac:dyDescent="0.25">
      <c r="A513" s="344"/>
      <c r="B513" s="344" t="s">
        <v>2478</v>
      </c>
      <c r="C513" s="344">
        <v>415</v>
      </c>
      <c r="D513" s="344"/>
      <c r="E513" s="190" t="s">
        <v>2479</v>
      </c>
      <c r="F513" s="183" t="s">
        <v>2480</v>
      </c>
      <c r="G513" s="183" t="s">
        <v>2481</v>
      </c>
      <c r="H513" s="184">
        <v>102071015742</v>
      </c>
      <c r="I513" s="185" t="s">
        <v>2482</v>
      </c>
      <c r="J513" s="146" t="s">
        <v>2483</v>
      </c>
      <c r="K513" s="247"/>
      <c r="L513" s="186">
        <v>44239</v>
      </c>
      <c r="M513" s="192">
        <v>1600000</v>
      </c>
    </row>
    <row r="514" spans="1:13" hidden="1" x14ac:dyDescent="0.25">
      <c r="A514" s="344"/>
      <c r="B514" s="344" t="s">
        <v>2484</v>
      </c>
      <c r="C514" s="344">
        <v>416</v>
      </c>
      <c r="D514" s="344"/>
      <c r="E514" s="190" t="s">
        <v>224</v>
      </c>
      <c r="F514" s="183" t="s">
        <v>2485</v>
      </c>
      <c r="G514" s="183" t="s">
        <v>2486</v>
      </c>
      <c r="H514" s="184">
        <v>101251196187</v>
      </c>
      <c r="I514" s="185" t="s">
        <v>2347</v>
      </c>
      <c r="J514" s="146" t="s">
        <v>2487</v>
      </c>
      <c r="K514" s="247"/>
      <c r="L514" s="186">
        <v>44239</v>
      </c>
      <c r="M514" s="192">
        <v>2600000</v>
      </c>
    </row>
    <row r="515" spans="1:13" hidden="1" x14ac:dyDescent="0.25">
      <c r="A515" s="344"/>
      <c r="B515" s="344" t="s">
        <v>2366</v>
      </c>
      <c r="C515" s="344">
        <v>417</v>
      </c>
      <c r="D515" s="344"/>
      <c r="E515" s="190" t="s">
        <v>87</v>
      </c>
      <c r="F515" s="183" t="s">
        <v>2249</v>
      </c>
      <c r="G515" s="183" t="s">
        <v>2488</v>
      </c>
      <c r="H515" s="184">
        <v>101241142639</v>
      </c>
      <c r="I515" s="185" t="s">
        <v>2489</v>
      </c>
      <c r="J515" s="146" t="s">
        <v>2490</v>
      </c>
      <c r="K515" s="247"/>
      <c r="L515" s="186">
        <v>44239</v>
      </c>
      <c r="M515" s="192">
        <v>2370000</v>
      </c>
    </row>
    <row r="516" spans="1:13" hidden="1" x14ac:dyDescent="0.25">
      <c r="A516" s="344"/>
      <c r="B516" s="344" t="s">
        <v>2368</v>
      </c>
      <c r="C516" s="344">
        <v>418</v>
      </c>
      <c r="D516" s="344"/>
      <c r="E516" s="190" t="s">
        <v>87</v>
      </c>
      <c r="F516" s="183" t="s">
        <v>2492</v>
      </c>
      <c r="G516" s="183" t="s">
        <v>2493</v>
      </c>
      <c r="H516" s="184">
        <v>103071013273</v>
      </c>
      <c r="I516" s="185" t="s">
        <v>2498</v>
      </c>
      <c r="J516" s="146" t="s">
        <v>2494</v>
      </c>
      <c r="K516" s="247"/>
      <c r="L516" s="186">
        <v>44240</v>
      </c>
      <c r="M516" s="192">
        <v>2500000</v>
      </c>
    </row>
    <row r="517" spans="1:13" hidden="1" x14ac:dyDescent="0.25">
      <c r="A517" s="344"/>
      <c r="B517" s="344" t="s">
        <v>2495</v>
      </c>
      <c r="C517" s="344">
        <v>419</v>
      </c>
      <c r="D517" s="344"/>
      <c r="E517" s="190" t="s">
        <v>87</v>
      </c>
      <c r="F517" s="183" t="s">
        <v>63</v>
      </c>
      <c r="G517" s="183" t="s">
        <v>2496</v>
      </c>
      <c r="H517" s="184">
        <v>117391006720</v>
      </c>
      <c r="I517" s="185" t="s">
        <v>2497</v>
      </c>
      <c r="J517" s="146" t="s">
        <v>2499</v>
      </c>
      <c r="K517" s="247"/>
      <c r="L517" s="186">
        <v>44240</v>
      </c>
      <c r="M517" s="192">
        <v>2700000</v>
      </c>
    </row>
    <row r="518" spans="1:13" hidden="1" x14ac:dyDescent="0.25">
      <c r="A518" s="344"/>
      <c r="B518" s="344" t="s">
        <v>2048</v>
      </c>
      <c r="C518" s="344">
        <v>420</v>
      </c>
      <c r="D518" s="344"/>
      <c r="E518" s="190" t="s">
        <v>87</v>
      </c>
      <c r="F518" s="183" t="s">
        <v>2500</v>
      </c>
      <c r="G518" s="183" t="s">
        <v>2501</v>
      </c>
      <c r="H518" s="184">
        <v>401032040268</v>
      </c>
      <c r="I518" s="185" t="s">
        <v>2502</v>
      </c>
      <c r="J518" s="146" t="s">
        <v>2503</v>
      </c>
      <c r="K518" s="247"/>
      <c r="L518" s="186">
        <v>44243</v>
      </c>
      <c r="M518" s="192">
        <v>3000000</v>
      </c>
    </row>
    <row r="519" spans="1:13" hidden="1" x14ac:dyDescent="0.25">
      <c r="A519" s="344"/>
      <c r="B519" s="344" t="s">
        <v>2504</v>
      </c>
      <c r="C519" s="344">
        <v>421</v>
      </c>
      <c r="D519" s="344"/>
      <c r="E519" s="190" t="s">
        <v>435</v>
      </c>
      <c r="F519" s="183" t="s">
        <v>2505</v>
      </c>
      <c r="G519" s="183" t="s">
        <v>2506</v>
      </c>
      <c r="H519" s="184">
        <v>101251154404</v>
      </c>
      <c r="I519" s="185" t="s">
        <v>2507</v>
      </c>
      <c r="J519" s="146" t="s">
        <v>2508</v>
      </c>
      <c r="K519" s="247"/>
      <c r="L519" s="186">
        <v>44243</v>
      </c>
      <c r="M519" s="192">
        <v>3600000</v>
      </c>
    </row>
    <row r="520" spans="1:13" hidden="1" x14ac:dyDescent="0.25">
      <c r="A520" s="344"/>
      <c r="B520" s="344" t="s">
        <v>2418</v>
      </c>
      <c r="C520" s="344">
        <v>422</v>
      </c>
      <c r="D520" s="344"/>
      <c r="E520" s="190" t="s">
        <v>435</v>
      </c>
      <c r="F520" s="183" t="s">
        <v>2509</v>
      </c>
      <c r="G520" s="183" t="s">
        <v>2510</v>
      </c>
      <c r="H520" s="184">
        <v>101222090277</v>
      </c>
      <c r="I520" s="185" t="s">
        <v>2511</v>
      </c>
      <c r="J520" s="146" t="s">
        <v>2512</v>
      </c>
      <c r="K520" s="247"/>
      <c r="L520" s="186">
        <v>44243</v>
      </c>
      <c r="M520" s="192"/>
    </row>
    <row r="521" spans="1:13" hidden="1" x14ac:dyDescent="0.25">
      <c r="A521" s="344"/>
      <c r="B521" s="344" t="s">
        <v>2513</v>
      </c>
      <c r="C521" s="344">
        <v>423</v>
      </c>
      <c r="D521" s="344"/>
      <c r="E521" s="190" t="s">
        <v>87</v>
      </c>
      <c r="F521" s="183" t="s">
        <v>1126</v>
      </c>
      <c r="G521" s="183" t="s">
        <v>2514</v>
      </c>
      <c r="H521" s="184">
        <v>117031009669</v>
      </c>
      <c r="I521" s="185" t="s">
        <v>2515</v>
      </c>
      <c r="J521" s="146" t="s">
        <v>2516</v>
      </c>
      <c r="K521" s="247"/>
      <c r="L521" s="186">
        <v>44243</v>
      </c>
      <c r="M521" s="192">
        <v>2410000</v>
      </c>
    </row>
    <row r="522" spans="1:13" hidden="1" x14ac:dyDescent="0.25">
      <c r="A522" s="344"/>
      <c r="B522" s="344" t="s">
        <v>2517</v>
      </c>
      <c r="C522" s="344">
        <v>424</v>
      </c>
      <c r="D522" s="344"/>
      <c r="E522" s="190" t="s">
        <v>87</v>
      </c>
      <c r="F522" s="183" t="s">
        <v>2518</v>
      </c>
      <c r="G522" s="183" t="s">
        <v>2519</v>
      </c>
      <c r="H522" s="184">
        <v>201032044787</v>
      </c>
      <c r="I522" s="185" t="s">
        <v>2520</v>
      </c>
      <c r="J522" s="146" t="s">
        <v>2521</v>
      </c>
      <c r="K522" s="247"/>
      <c r="L522" s="186">
        <v>44243</v>
      </c>
      <c r="M522" s="192">
        <v>2700000</v>
      </c>
    </row>
    <row r="523" spans="1:13" hidden="1" x14ac:dyDescent="0.25">
      <c r="A523" s="344"/>
      <c r="B523" s="344" t="s">
        <v>2367</v>
      </c>
      <c r="C523" s="344">
        <v>425</v>
      </c>
      <c r="D523" s="344"/>
      <c r="E523" s="190" t="s">
        <v>28</v>
      </c>
      <c r="F523" s="183" t="s">
        <v>615</v>
      </c>
      <c r="G523" s="183" t="s">
        <v>2522</v>
      </c>
      <c r="H523" s="184">
        <v>101211205450</v>
      </c>
      <c r="I523" s="185" t="s">
        <v>2523</v>
      </c>
      <c r="J523" s="146" t="s">
        <v>2524</v>
      </c>
      <c r="K523" s="247"/>
      <c r="L523" s="186">
        <v>44243</v>
      </c>
      <c r="M523" s="192">
        <v>2500000</v>
      </c>
    </row>
    <row r="524" spans="1:13" hidden="1" x14ac:dyDescent="0.25">
      <c r="A524" s="344"/>
      <c r="B524" s="344" t="s">
        <v>2278</v>
      </c>
      <c r="C524" s="344">
        <v>426</v>
      </c>
      <c r="D524" s="344"/>
      <c r="E524" s="190" t="s">
        <v>87</v>
      </c>
      <c r="F524" s="183" t="s">
        <v>1405</v>
      </c>
      <c r="G524" s="183" t="s">
        <v>2362</v>
      </c>
      <c r="H524" s="184">
        <v>101251196018</v>
      </c>
      <c r="I524" s="185" t="s">
        <v>2525</v>
      </c>
      <c r="J524" s="146" t="s">
        <v>2364</v>
      </c>
      <c r="K524" s="247"/>
      <c r="L524" s="186">
        <v>44244</v>
      </c>
      <c r="M524" s="192">
        <v>2900000</v>
      </c>
    </row>
    <row r="525" spans="1:13" hidden="1" x14ac:dyDescent="0.25">
      <c r="A525" s="344"/>
      <c r="B525" s="344" t="s">
        <v>2526</v>
      </c>
      <c r="C525" s="344">
        <v>427</v>
      </c>
      <c r="D525" s="344"/>
      <c r="E525" s="190" t="s">
        <v>2527</v>
      </c>
      <c r="F525" s="183" t="s">
        <v>2528</v>
      </c>
      <c r="G525" s="183" t="s">
        <v>2529</v>
      </c>
      <c r="H525" s="184">
        <v>103052007195</v>
      </c>
      <c r="I525" s="185" t="s">
        <v>2530</v>
      </c>
      <c r="J525" s="146" t="s">
        <v>2531</v>
      </c>
      <c r="K525" s="247"/>
      <c r="L525" s="186">
        <v>44245</v>
      </c>
      <c r="M525" s="192">
        <v>2500000</v>
      </c>
    </row>
    <row r="526" spans="1:13" hidden="1" x14ac:dyDescent="0.25">
      <c r="A526" s="344"/>
      <c r="B526" s="344" t="s">
        <v>2532</v>
      </c>
      <c r="C526" s="344">
        <v>428</v>
      </c>
      <c r="D526" s="344"/>
      <c r="E526" s="190" t="s">
        <v>2533</v>
      </c>
      <c r="F526" s="183" t="s">
        <v>589</v>
      </c>
      <c r="G526" s="183" t="s">
        <v>2534</v>
      </c>
      <c r="H526" s="184">
        <v>101251073308</v>
      </c>
      <c r="I526" s="185" t="s">
        <v>2535</v>
      </c>
      <c r="J526" s="146" t="s">
        <v>2536</v>
      </c>
      <c r="K526" s="247"/>
      <c r="L526" s="186">
        <v>44245</v>
      </c>
      <c r="M526" s="192">
        <v>1950000</v>
      </c>
    </row>
    <row r="527" spans="1:13" x14ac:dyDescent="0.25">
      <c r="A527" s="344"/>
      <c r="B527" s="344" t="s">
        <v>2537</v>
      </c>
      <c r="C527" s="344">
        <v>429</v>
      </c>
      <c r="D527" s="344"/>
      <c r="E527" s="190" t="s">
        <v>777</v>
      </c>
      <c r="F527" s="183" t="s">
        <v>2538</v>
      </c>
      <c r="G527" s="183" t="s">
        <v>2539</v>
      </c>
      <c r="H527" s="184">
        <v>101251168788</v>
      </c>
      <c r="I527" s="185" t="s">
        <v>2540</v>
      </c>
      <c r="J527" s="146" t="s">
        <v>2541</v>
      </c>
      <c r="K527" s="247"/>
      <c r="L527" s="186">
        <v>44245</v>
      </c>
      <c r="M527" s="192">
        <v>1200000</v>
      </c>
    </row>
    <row r="528" spans="1:13" hidden="1" x14ac:dyDescent="0.25">
      <c r="A528" s="344"/>
      <c r="B528" s="344" t="s">
        <v>2546</v>
      </c>
      <c r="C528" s="344">
        <v>430</v>
      </c>
      <c r="D528" s="344"/>
      <c r="E528" s="190" t="s">
        <v>1172</v>
      </c>
      <c r="F528" s="183" t="s">
        <v>2542</v>
      </c>
      <c r="G528" s="183" t="s">
        <v>2543</v>
      </c>
      <c r="H528" s="184">
        <v>117051003296</v>
      </c>
      <c r="I528" s="185" t="s">
        <v>2544</v>
      </c>
      <c r="J528" s="146" t="s">
        <v>2545</v>
      </c>
      <c r="K528" s="247"/>
      <c r="L528" s="186">
        <v>44246</v>
      </c>
      <c r="M528" s="192">
        <v>5200000</v>
      </c>
    </row>
    <row r="529" spans="1:13" hidden="1" x14ac:dyDescent="0.25">
      <c r="A529" s="344">
        <v>320</v>
      </c>
      <c r="B529" s="344" t="s">
        <v>2377</v>
      </c>
      <c r="C529" s="344">
        <v>431</v>
      </c>
      <c r="D529" s="344"/>
      <c r="E529" s="190" t="s">
        <v>434</v>
      </c>
      <c r="F529" s="183" t="s">
        <v>2549</v>
      </c>
      <c r="G529" s="183" t="s">
        <v>2550</v>
      </c>
      <c r="H529" s="184">
        <v>117171012983</v>
      </c>
      <c r="I529" s="185" t="s">
        <v>2551</v>
      </c>
      <c r="J529" s="146" t="s">
        <v>2552</v>
      </c>
      <c r="K529" s="247"/>
      <c r="L529" s="186">
        <v>44249</v>
      </c>
      <c r="M529" s="192">
        <v>4000000</v>
      </c>
    </row>
    <row r="530" spans="1:13" hidden="1" x14ac:dyDescent="0.25">
      <c r="A530" s="344">
        <v>330</v>
      </c>
      <c r="B530" s="344" t="s">
        <v>2426</v>
      </c>
      <c r="C530" s="344">
        <v>432</v>
      </c>
      <c r="D530" s="344"/>
      <c r="E530" s="190" t="s">
        <v>434</v>
      </c>
      <c r="F530" s="183" t="s">
        <v>2553</v>
      </c>
      <c r="G530" s="183" t="s">
        <v>2554</v>
      </c>
      <c r="H530" s="184">
        <v>101251197846</v>
      </c>
      <c r="I530" s="185" t="s">
        <v>2555</v>
      </c>
      <c r="J530" s="146" t="s">
        <v>2556</v>
      </c>
      <c r="K530" s="247"/>
      <c r="L530" s="186">
        <v>44250</v>
      </c>
      <c r="M530" s="192">
        <v>3400000</v>
      </c>
    </row>
    <row r="531" spans="1:13" x14ac:dyDescent="0.25">
      <c r="A531" s="344"/>
      <c r="B531" s="344" t="s">
        <v>2557</v>
      </c>
      <c r="C531" s="344">
        <v>433</v>
      </c>
      <c r="D531" s="344"/>
      <c r="E531" s="190" t="s">
        <v>777</v>
      </c>
      <c r="F531" s="183" t="s">
        <v>773</v>
      </c>
      <c r="G531" s="183" t="s">
        <v>774</v>
      </c>
      <c r="H531" s="184">
        <v>102071014997</v>
      </c>
      <c r="I531" s="185" t="s">
        <v>2558</v>
      </c>
      <c r="J531" s="146" t="s">
        <v>2559</v>
      </c>
      <c r="K531" s="247"/>
      <c r="L531" s="186">
        <v>44250</v>
      </c>
      <c r="M531" s="192">
        <v>1300000</v>
      </c>
    </row>
    <row r="532" spans="1:13" hidden="1" x14ac:dyDescent="0.25">
      <c r="A532" s="344"/>
      <c r="B532" s="344" t="s">
        <v>2371</v>
      </c>
      <c r="C532" s="344"/>
      <c r="D532" s="344" t="s">
        <v>2564</v>
      </c>
      <c r="E532" s="190" t="s">
        <v>87</v>
      </c>
      <c r="F532" s="183" t="s">
        <v>1247</v>
      </c>
      <c r="G532" s="183" t="s">
        <v>2565</v>
      </c>
      <c r="H532" s="184">
        <v>102091018502</v>
      </c>
      <c r="I532" s="185" t="s">
        <v>2566</v>
      </c>
      <c r="J532" s="146" t="s">
        <v>2567</v>
      </c>
      <c r="K532" s="247"/>
      <c r="L532" s="186">
        <v>44257</v>
      </c>
      <c r="M532" s="192">
        <v>2900000</v>
      </c>
    </row>
    <row r="533" spans="1:13" hidden="1" x14ac:dyDescent="0.25">
      <c r="A533" s="344"/>
      <c r="B533" s="344" t="s">
        <v>2568</v>
      </c>
      <c r="C533" s="344">
        <v>434</v>
      </c>
      <c r="D533" s="344"/>
      <c r="E533" s="190" t="s">
        <v>87</v>
      </c>
      <c r="F533" s="183" t="s">
        <v>2569</v>
      </c>
      <c r="G533" s="183" t="s">
        <v>2570</v>
      </c>
      <c r="H533" s="184">
        <v>502011003837</v>
      </c>
      <c r="I533" s="185" t="s">
        <v>2571</v>
      </c>
      <c r="J533" s="146" t="s">
        <v>2572</v>
      </c>
      <c r="K533" s="247"/>
      <c r="L533" s="186">
        <v>44252</v>
      </c>
      <c r="M533" s="192">
        <v>2600000</v>
      </c>
    </row>
    <row r="534" spans="1:13" hidden="1" x14ac:dyDescent="0.25">
      <c r="A534" s="344"/>
      <c r="B534" s="344" t="s">
        <v>2373</v>
      </c>
      <c r="C534" s="344">
        <v>435</v>
      </c>
      <c r="D534" s="344"/>
      <c r="E534" s="190" t="s">
        <v>87</v>
      </c>
      <c r="F534" s="183" t="s">
        <v>2573</v>
      </c>
      <c r="G534" s="183" t="s">
        <v>2574</v>
      </c>
      <c r="H534" s="184">
        <v>101211189994</v>
      </c>
      <c r="I534" s="185" t="s">
        <v>2575</v>
      </c>
      <c r="J534" s="146" t="s">
        <v>2576</v>
      </c>
      <c r="K534" s="247"/>
      <c r="L534" s="186">
        <v>44254</v>
      </c>
      <c r="M534" s="192"/>
    </row>
    <row r="535" spans="1:13" hidden="1" x14ac:dyDescent="0.25">
      <c r="A535" s="344"/>
      <c r="B535" s="344" t="s">
        <v>2577</v>
      </c>
      <c r="C535" s="344">
        <v>436</v>
      </c>
      <c r="D535" s="344"/>
      <c r="E535" s="190" t="s">
        <v>224</v>
      </c>
      <c r="F535" s="183" t="s">
        <v>2578</v>
      </c>
      <c r="G535" s="183" t="s">
        <v>2579</v>
      </c>
      <c r="H535" s="184">
        <v>102031013208</v>
      </c>
      <c r="I535" s="185" t="s">
        <v>2580</v>
      </c>
      <c r="J535" s="146" t="s">
        <v>2581</v>
      </c>
      <c r="K535" s="247"/>
      <c r="L535" s="186">
        <v>44254</v>
      </c>
      <c r="M535" s="192">
        <v>2200000</v>
      </c>
    </row>
    <row r="536" spans="1:13" hidden="1" x14ac:dyDescent="0.25">
      <c r="A536" s="344"/>
      <c r="B536" s="344" t="s">
        <v>2582</v>
      </c>
      <c r="C536" s="344">
        <v>437</v>
      </c>
      <c r="D536" s="344"/>
      <c r="E536" s="190" t="s">
        <v>787</v>
      </c>
      <c r="F536" s="183" t="s">
        <v>1708</v>
      </c>
      <c r="G536" s="183" t="s">
        <v>1709</v>
      </c>
      <c r="H536" s="184">
        <v>111012007887</v>
      </c>
      <c r="I536" s="185" t="s">
        <v>1738</v>
      </c>
      <c r="J536" s="146" t="s">
        <v>1711</v>
      </c>
      <c r="K536" s="247"/>
      <c r="L536" s="186">
        <v>44256</v>
      </c>
      <c r="M536" s="192">
        <v>6400000</v>
      </c>
    </row>
    <row r="537" spans="1:13" hidden="1" x14ac:dyDescent="0.25">
      <c r="A537" s="344"/>
      <c r="B537" s="344" t="s">
        <v>2420</v>
      </c>
      <c r="C537" s="344">
        <v>438</v>
      </c>
      <c r="D537" s="344"/>
      <c r="E537" s="190" t="s">
        <v>435</v>
      </c>
      <c r="F537" s="183" t="s">
        <v>2583</v>
      </c>
      <c r="G537" s="183" t="s">
        <v>2584</v>
      </c>
      <c r="H537" s="184">
        <v>501031018462</v>
      </c>
      <c r="I537" s="185" t="s">
        <v>2585</v>
      </c>
      <c r="J537" s="146" t="s">
        <v>2586</v>
      </c>
      <c r="K537" s="247"/>
      <c r="L537" s="186">
        <v>44257</v>
      </c>
      <c r="M537" s="192">
        <v>3700000</v>
      </c>
    </row>
    <row r="538" spans="1:13" hidden="1" x14ac:dyDescent="0.25">
      <c r="A538" s="344"/>
      <c r="B538" s="344" t="s">
        <v>2587</v>
      </c>
      <c r="C538" s="344">
        <v>439</v>
      </c>
      <c r="D538" s="344"/>
      <c r="E538" s="190" t="s">
        <v>87</v>
      </c>
      <c r="F538" s="183" t="s">
        <v>2588</v>
      </c>
      <c r="G538" s="183" t="s">
        <v>268</v>
      </c>
      <c r="H538" s="184">
        <v>107011010140</v>
      </c>
      <c r="I538" s="185" t="s">
        <v>2589</v>
      </c>
      <c r="J538" s="146" t="s">
        <v>2590</v>
      </c>
      <c r="K538" s="247"/>
      <c r="L538" s="186">
        <v>44257</v>
      </c>
      <c r="M538" s="192">
        <v>2500000</v>
      </c>
    </row>
    <row r="539" spans="1:13" hidden="1" x14ac:dyDescent="0.25">
      <c r="A539" s="344"/>
      <c r="B539" s="344" t="s">
        <v>218</v>
      </c>
      <c r="C539" s="344">
        <v>440</v>
      </c>
      <c r="D539" s="344"/>
      <c r="E539" s="190" t="s">
        <v>224</v>
      </c>
      <c r="F539" s="183"/>
      <c r="G539" s="183"/>
      <c r="H539" s="184"/>
      <c r="I539" s="185"/>
      <c r="J539" s="146"/>
      <c r="K539" s="247"/>
      <c r="L539" s="186"/>
      <c r="M539" s="192">
        <v>2400000</v>
      </c>
    </row>
    <row r="540" spans="1:13" hidden="1" x14ac:dyDescent="0.25">
      <c r="A540" s="344"/>
      <c r="B540" s="344" t="s">
        <v>2419</v>
      </c>
      <c r="C540" s="344">
        <v>441</v>
      </c>
      <c r="D540" s="344"/>
      <c r="E540" s="190" t="s">
        <v>435</v>
      </c>
      <c r="F540" s="183" t="s">
        <v>2070</v>
      </c>
      <c r="G540" s="183" t="s">
        <v>2591</v>
      </c>
      <c r="H540" s="184">
        <v>204051001870</v>
      </c>
      <c r="I540" s="185" t="s">
        <v>2592</v>
      </c>
      <c r="J540" s="146" t="s">
        <v>2593</v>
      </c>
      <c r="K540" s="247"/>
      <c r="L540" s="186">
        <v>44257</v>
      </c>
      <c r="M540" s="192">
        <v>3200000</v>
      </c>
    </row>
    <row r="541" spans="1:13" hidden="1" x14ac:dyDescent="0.25">
      <c r="A541" s="344"/>
      <c r="B541" s="344" t="s">
        <v>2369</v>
      </c>
      <c r="C541" s="344">
        <v>442</v>
      </c>
      <c r="D541" s="344"/>
      <c r="E541" s="190" t="s">
        <v>87</v>
      </c>
      <c r="F541" s="183" t="s">
        <v>2594</v>
      </c>
      <c r="G541" s="183" t="s">
        <v>2595</v>
      </c>
      <c r="H541" s="184">
        <v>101211212039</v>
      </c>
      <c r="I541" s="185" t="s">
        <v>2596</v>
      </c>
      <c r="J541" s="146" t="s">
        <v>2597</v>
      </c>
      <c r="K541" s="247"/>
      <c r="L541" s="186">
        <v>44259</v>
      </c>
      <c r="M541" s="192">
        <v>2800000</v>
      </c>
    </row>
    <row r="542" spans="1:13" hidden="1" x14ac:dyDescent="0.25">
      <c r="A542" s="344"/>
      <c r="B542" s="344" t="s">
        <v>2423</v>
      </c>
      <c r="C542" s="344">
        <v>443</v>
      </c>
      <c r="D542" s="344"/>
      <c r="E542" s="190" t="s">
        <v>435</v>
      </c>
      <c r="F542" s="183" t="s">
        <v>2598</v>
      </c>
      <c r="G542" s="183" t="s">
        <v>2599</v>
      </c>
      <c r="H542" s="184">
        <v>101212132813</v>
      </c>
      <c r="I542" s="185" t="s">
        <v>2600</v>
      </c>
      <c r="J542" s="146" t="s">
        <v>2601</v>
      </c>
      <c r="K542" s="247"/>
      <c r="L542" s="186">
        <v>44260</v>
      </c>
      <c r="M542" s="192">
        <v>3800000</v>
      </c>
    </row>
    <row r="543" spans="1:13" hidden="1" x14ac:dyDescent="0.25">
      <c r="A543" s="344"/>
      <c r="B543" s="344" t="s">
        <v>2280</v>
      </c>
      <c r="C543" s="344">
        <v>444</v>
      </c>
      <c r="D543" s="344"/>
      <c r="E543" s="190" t="s">
        <v>87</v>
      </c>
      <c r="F543" s="183" t="s">
        <v>2602</v>
      </c>
      <c r="G543" s="183" t="s">
        <v>2603</v>
      </c>
      <c r="H543" s="184">
        <v>110111002778</v>
      </c>
      <c r="I543" s="185" t="s">
        <v>2604</v>
      </c>
      <c r="J543" s="146" t="s">
        <v>2605</v>
      </c>
      <c r="K543" s="247"/>
      <c r="L543" s="186">
        <v>44261</v>
      </c>
      <c r="M543" s="192">
        <v>2400000</v>
      </c>
    </row>
    <row r="544" spans="1:13" hidden="1" x14ac:dyDescent="0.25">
      <c r="A544" s="344"/>
      <c r="B544" s="344" t="s">
        <v>2606</v>
      </c>
      <c r="C544" s="344">
        <v>445</v>
      </c>
      <c r="D544" s="344"/>
      <c r="E544" s="190" t="s">
        <v>28</v>
      </c>
      <c r="F544" s="183" t="s">
        <v>2607</v>
      </c>
      <c r="G544" s="183" t="s">
        <v>2608</v>
      </c>
      <c r="H544" s="184">
        <v>102071008639</v>
      </c>
      <c r="I544" s="185" t="s">
        <v>2609</v>
      </c>
      <c r="J544" s="146" t="s">
        <v>2610</v>
      </c>
      <c r="K544" s="247"/>
      <c r="L544" s="186">
        <v>44263</v>
      </c>
      <c r="M544" s="192">
        <v>2600000</v>
      </c>
    </row>
    <row r="545" spans="1:13" hidden="1" x14ac:dyDescent="0.25">
      <c r="A545" s="344"/>
      <c r="B545" s="344" t="s">
        <v>1302</v>
      </c>
      <c r="C545" s="344">
        <v>446</v>
      </c>
      <c r="D545" s="344"/>
      <c r="E545" s="190" t="s">
        <v>1568</v>
      </c>
      <c r="F545" s="183" t="s">
        <v>2611</v>
      </c>
      <c r="G545" s="183" t="s">
        <v>2612</v>
      </c>
      <c r="H545" s="184">
        <v>117011013365</v>
      </c>
      <c r="I545" s="185" t="s">
        <v>2613</v>
      </c>
      <c r="J545" s="146" t="s">
        <v>646</v>
      </c>
      <c r="K545" s="247"/>
      <c r="L545" s="186">
        <v>44264</v>
      </c>
      <c r="M545" s="192">
        <v>7600000</v>
      </c>
    </row>
    <row r="546" spans="1:13" hidden="1" x14ac:dyDescent="0.25">
      <c r="A546" s="344"/>
      <c r="B546" s="344" t="s">
        <v>2614</v>
      </c>
      <c r="C546" s="344">
        <v>447</v>
      </c>
      <c r="D546" s="344"/>
      <c r="E546" s="190" t="s">
        <v>28</v>
      </c>
      <c r="F546" s="183" t="s">
        <v>2615</v>
      </c>
      <c r="G546" s="183" t="s">
        <v>2160</v>
      </c>
      <c r="H546" s="184">
        <v>101981070073</v>
      </c>
      <c r="I546" s="185" t="s">
        <v>2161</v>
      </c>
      <c r="J546" s="492" t="s">
        <v>2162</v>
      </c>
      <c r="K546" s="247"/>
      <c r="L546" s="186">
        <v>44265</v>
      </c>
      <c r="M546" s="192">
        <v>3200000</v>
      </c>
    </row>
    <row r="547" spans="1:13" hidden="1" x14ac:dyDescent="0.25">
      <c r="A547" s="344"/>
      <c r="B547" s="344" t="s">
        <v>1274</v>
      </c>
      <c r="C547" s="344">
        <v>448</v>
      </c>
      <c r="D547" s="344"/>
      <c r="E547" s="190" t="s">
        <v>87</v>
      </c>
      <c r="F547" s="183" t="s">
        <v>2616</v>
      </c>
      <c r="G547" s="183" t="s">
        <v>2617</v>
      </c>
      <c r="H547" s="184">
        <v>307011033924</v>
      </c>
      <c r="I547" s="185" t="s">
        <v>2618</v>
      </c>
      <c r="J547" s="146" t="s">
        <v>2619</v>
      </c>
      <c r="K547" s="247"/>
      <c r="L547" s="186">
        <v>44265</v>
      </c>
      <c r="M547" s="192">
        <v>2600000</v>
      </c>
    </row>
    <row r="548" spans="1:13" hidden="1" x14ac:dyDescent="0.25">
      <c r="A548" s="344"/>
      <c r="B548" s="344" t="s">
        <v>2620</v>
      </c>
      <c r="C548" s="344">
        <v>449</v>
      </c>
      <c r="D548" s="344"/>
      <c r="E548" s="190" t="s">
        <v>28</v>
      </c>
      <c r="F548" s="183" t="s">
        <v>2621</v>
      </c>
      <c r="G548" s="183" t="s">
        <v>2622</v>
      </c>
      <c r="H548" s="184">
        <v>220051002222</v>
      </c>
      <c r="I548" s="185" t="s">
        <v>2623</v>
      </c>
      <c r="J548" s="146" t="s">
        <v>2624</v>
      </c>
      <c r="K548" s="247"/>
      <c r="L548" s="186">
        <v>44267</v>
      </c>
      <c r="M548" s="192">
        <v>2520000</v>
      </c>
    </row>
    <row r="549" spans="1:13" hidden="1" x14ac:dyDescent="0.25">
      <c r="A549" s="344">
        <v>293</v>
      </c>
      <c r="B549" s="344" t="s">
        <v>2058</v>
      </c>
      <c r="C549" s="344">
        <v>450</v>
      </c>
      <c r="D549" s="344" t="s">
        <v>2649</v>
      </c>
      <c r="E549" s="190" t="s">
        <v>435</v>
      </c>
      <c r="F549" s="183"/>
      <c r="G549" s="183"/>
      <c r="H549" s="184"/>
      <c r="I549" s="185"/>
      <c r="J549" s="146"/>
      <c r="K549" s="247"/>
      <c r="L549" s="186">
        <v>44270</v>
      </c>
      <c r="M549" s="192">
        <v>3900000</v>
      </c>
    </row>
    <row r="550" spans="1:13" hidden="1" x14ac:dyDescent="0.25">
      <c r="A550" s="344"/>
      <c r="B550" s="344" t="s">
        <v>798</v>
      </c>
      <c r="C550" s="344">
        <v>451</v>
      </c>
      <c r="D550" s="344"/>
      <c r="E550" s="190" t="s">
        <v>87</v>
      </c>
      <c r="F550" s="183" t="s">
        <v>2650</v>
      </c>
      <c r="G550" s="183" t="s">
        <v>2651</v>
      </c>
      <c r="H550" s="184">
        <v>102311007056</v>
      </c>
      <c r="I550" s="185" t="s">
        <v>2652</v>
      </c>
      <c r="J550" s="146" t="s">
        <v>2653</v>
      </c>
      <c r="K550" s="247"/>
      <c r="L550" s="186">
        <v>44270</v>
      </c>
      <c r="M550" s="192">
        <v>2300000</v>
      </c>
    </row>
    <row r="551" spans="1:13" hidden="1" x14ac:dyDescent="0.25">
      <c r="A551" s="344"/>
      <c r="B551" s="344" t="s">
        <v>2644</v>
      </c>
      <c r="C551" s="344">
        <v>452</v>
      </c>
      <c r="D551" s="344"/>
      <c r="E551" s="190" t="s">
        <v>435</v>
      </c>
      <c r="F551" s="183" t="s">
        <v>2654</v>
      </c>
      <c r="G551" s="183" t="s">
        <v>2655</v>
      </c>
      <c r="H551" s="184">
        <v>301071026381</v>
      </c>
      <c r="I551" s="185" t="s">
        <v>2656</v>
      </c>
      <c r="J551" s="146" t="s">
        <v>2657</v>
      </c>
      <c r="K551" s="247"/>
      <c r="L551" s="186">
        <v>44274</v>
      </c>
      <c r="M551" s="192">
        <v>3570000</v>
      </c>
    </row>
    <row r="552" spans="1:13" hidden="1" x14ac:dyDescent="0.25">
      <c r="A552" s="344"/>
      <c r="B552" s="344" t="s">
        <v>2044</v>
      </c>
      <c r="C552" s="344">
        <v>453</v>
      </c>
      <c r="D552" s="344"/>
      <c r="E552" s="190" t="s">
        <v>87</v>
      </c>
      <c r="F552" s="183" t="s">
        <v>2658</v>
      </c>
      <c r="G552" s="183" t="s">
        <v>2659</v>
      </c>
      <c r="H552" s="184">
        <v>301091009789</v>
      </c>
      <c r="I552" s="185" t="s">
        <v>2660</v>
      </c>
      <c r="J552" s="146" t="s">
        <v>2661</v>
      </c>
      <c r="K552" s="247"/>
      <c r="L552" s="186">
        <v>44274</v>
      </c>
      <c r="M552" s="192">
        <v>3300000</v>
      </c>
    </row>
    <row r="553" spans="1:13" hidden="1" x14ac:dyDescent="0.25">
      <c r="A553" s="344"/>
      <c r="B553" s="344" t="s">
        <v>2371</v>
      </c>
      <c r="C553" s="344">
        <v>454</v>
      </c>
      <c r="D553" s="344" t="s">
        <v>2564</v>
      </c>
      <c r="E553" s="190" t="s">
        <v>87</v>
      </c>
      <c r="F553" s="183" t="s">
        <v>2662</v>
      </c>
      <c r="G553" s="183" t="s">
        <v>2681</v>
      </c>
      <c r="H553" s="184">
        <v>101211182449</v>
      </c>
      <c r="I553" s="185" t="s">
        <v>2663</v>
      </c>
      <c r="J553" s="146" t="s">
        <v>2664</v>
      </c>
      <c r="K553" s="247"/>
      <c r="L553" s="186">
        <v>44274</v>
      </c>
      <c r="M553" s="192">
        <v>2900000</v>
      </c>
    </row>
    <row r="554" spans="1:13" hidden="1" x14ac:dyDescent="0.25">
      <c r="A554" s="344"/>
      <c r="B554" s="344" t="s">
        <v>2636</v>
      </c>
      <c r="C554" s="344">
        <v>455</v>
      </c>
      <c r="D554" s="344"/>
      <c r="E554" s="190" t="s">
        <v>434</v>
      </c>
      <c r="F554" s="183" t="s">
        <v>1799</v>
      </c>
      <c r="G554" s="183" t="s">
        <v>2665</v>
      </c>
      <c r="H554" s="184">
        <v>101211208858</v>
      </c>
      <c r="I554" s="185" t="s">
        <v>2666</v>
      </c>
      <c r="J554" s="146" t="s">
        <v>2667</v>
      </c>
      <c r="K554" s="247"/>
      <c r="L554" s="186">
        <v>44275</v>
      </c>
      <c r="M554" s="192">
        <v>4400000</v>
      </c>
    </row>
    <row r="555" spans="1:13" hidden="1" x14ac:dyDescent="0.25">
      <c r="A555" s="344"/>
      <c r="B555" s="344" t="s">
        <v>2645</v>
      </c>
      <c r="C555" s="344"/>
      <c r="D555" s="344" t="s">
        <v>2668</v>
      </c>
      <c r="E555" s="190" t="s">
        <v>435</v>
      </c>
      <c r="F555" s="183" t="s">
        <v>101</v>
      </c>
      <c r="G555" s="183" t="s">
        <v>262</v>
      </c>
      <c r="H555" s="184">
        <v>101231134142</v>
      </c>
      <c r="I555" s="185" t="s">
        <v>2669</v>
      </c>
      <c r="J555" s="146" t="s">
        <v>344</v>
      </c>
      <c r="K555" s="247"/>
      <c r="L555" s="186">
        <v>44273</v>
      </c>
      <c r="M555" s="192">
        <v>3400000</v>
      </c>
    </row>
    <row r="556" spans="1:13" hidden="1" x14ac:dyDescent="0.25">
      <c r="A556" s="344"/>
      <c r="B556" s="344" t="s">
        <v>2633</v>
      </c>
      <c r="C556" s="344"/>
      <c r="D556" s="344" t="s">
        <v>2670</v>
      </c>
      <c r="E556" s="190" t="s">
        <v>435</v>
      </c>
      <c r="F556" s="183" t="s">
        <v>1811</v>
      </c>
      <c r="G556" s="183" t="s">
        <v>2059</v>
      </c>
      <c r="H556" s="184">
        <v>101251116545</v>
      </c>
      <c r="I556" s="185" t="s">
        <v>2209</v>
      </c>
      <c r="J556" s="146" t="s">
        <v>1813</v>
      </c>
      <c r="K556" s="247"/>
      <c r="L556" s="186">
        <v>44273</v>
      </c>
      <c r="M556" s="192"/>
    </row>
    <row r="557" spans="1:13" hidden="1" x14ac:dyDescent="0.25">
      <c r="A557" s="344"/>
      <c r="B557" s="344" t="s">
        <v>2627</v>
      </c>
      <c r="C557" s="344"/>
      <c r="D557" s="344" t="s">
        <v>2671</v>
      </c>
      <c r="E557" s="190" t="s">
        <v>435</v>
      </c>
      <c r="F557" s="183" t="s">
        <v>2672</v>
      </c>
      <c r="G557" s="183" t="s">
        <v>2673</v>
      </c>
      <c r="H557" s="184">
        <v>101221109744</v>
      </c>
      <c r="I557" s="185" t="s">
        <v>2674</v>
      </c>
      <c r="J557" s="146" t="s">
        <v>2675</v>
      </c>
      <c r="K557" s="247"/>
      <c r="L557" s="186">
        <v>44275</v>
      </c>
      <c r="M557" s="192">
        <v>3700000</v>
      </c>
    </row>
    <row r="558" spans="1:13" hidden="1" x14ac:dyDescent="0.25">
      <c r="A558" s="344"/>
      <c r="B558" s="344" t="s">
        <v>2628</v>
      </c>
      <c r="C558" s="344"/>
      <c r="D558" s="344" t="s">
        <v>2676</v>
      </c>
      <c r="E558" s="190" t="s">
        <v>434</v>
      </c>
      <c r="F558" s="183" t="s">
        <v>384</v>
      </c>
      <c r="G558" s="183" t="s">
        <v>385</v>
      </c>
      <c r="H558" s="184">
        <v>101251171456</v>
      </c>
      <c r="I558" s="185" t="s">
        <v>614</v>
      </c>
      <c r="J558" s="146" t="s">
        <v>386</v>
      </c>
      <c r="K558" s="247"/>
      <c r="L558" s="186">
        <v>44275</v>
      </c>
      <c r="M558" s="192">
        <v>3500000</v>
      </c>
    </row>
    <row r="559" spans="1:13" hidden="1" x14ac:dyDescent="0.25">
      <c r="A559" s="344"/>
      <c r="B559" s="344" t="s">
        <v>2640</v>
      </c>
      <c r="C559" s="344">
        <v>456</v>
      </c>
      <c r="D559" s="344"/>
      <c r="E559" s="190" t="s">
        <v>435</v>
      </c>
      <c r="F559" s="183" t="s">
        <v>2678</v>
      </c>
      <c r="G559" s="183" t="s">
        <v>2681</v>
      </c>
      <c r="H559" s="184">
        <v>107341006337</v>
      </c>
      <c r="I559" s="185" t="s">
        <v>2679</v>
      </c>
      <c r="J559" s="146" t="s">
        <v>2680</v>
      </c>
      <c r="K559" s="247"/>
      <c r="L559" s="186">
        <v>44277</v>
      </c>
      <c r="M559" s="192">
        <v>3350000</v>
      </c>
    </row>
    <row r="560" spans="1:13" hidden="1" x14ac:dyDescent="0.25">
      <c r="A560" s="344"/>
      <c r="B560" s="344" t="s">
        <v>2376</v>
      </c>
      <c r="C560" s="344">
        <v>457</v>
      </c>
      <c r="D560" s="344"/>
      <c r="E560" s="190" t="s">
        <v>434</v>
      </c>
      <c r="F560" s="183" t="s">
        <v>2685</v>
      </c>
      <c r="G560" s="183" t="s">
        <v>2686</v>
      </c>
      <c r="H560" s="184">
        <v>101231168573</v>
      </c>
      <c r="I560" s="185" t="s">
        <v>2687</v>
      </c>
      <c r="J560" s="146" t="s">
        <v>2688</v>
      </c>
      <c r="K560" s="247"/>
      <c r="L560" s="186">
        <v>44281</v>
      </c>
      <c r="M560" s="192">
        <v>3500000</v>
      </c>
    </row>
    <row r="561" spans="1:13" hidden="1" x14ac:dyDescent="0.25">
      <c r="A561" s="344"/>
      <c r="B561" s="344" t="s">
        <v>2043</v>
      </c>
      <c r="C561" s="344">
        <v>458</v>
      </c>
      <c r="D561" s="344" t="s">
        <v>2212</v>
      </c>
      <c r="E561" s="190" t="s">
        <v>87</v>
      </c>
      <c r="F561" s="183" t="s">
        <v>2223</v>
      </c>
      <c r="G561" s="183" t="s">
        <v>2224</v>
      </c>
      <c r="H561" s="184">
        <v>102071005777</v>
      </c>
      <c r="I561" s="185" t="s">
        <v>2689</v>
      </c>
      <c r="J561" s="146" t="s">
        <v>2226</v>
      </c>
      <c r="K561" s="247"/>
      <c r="L561" s="186">
        <v>44282</v>
      </c>
      <c r="M561" s="192">
        <v>2700000</v>
      </c>
    </row>
    <row r="562" spans="1:13" hidden="1" x14ac:dyDescent="0.25">
      <c r="A562" s="344"/>
      <c r="B562" s="344" t="s">
        <v>2643</v>
      </c>
      <c r="C562" s="344">
        <v>459</v>
      </c>
      <c r="D562" s="344"/>
      <c r="E562" s="190" t="s">
        <v>434</v>
      </c>
      <c r="F562" s="183" t="s">
        <v>2690</v>
      </c>
      <c r="G562" s="183" t="s">
        <v>2691</v>
      </c>
      <c r="H562" s="184">
        <v>102191000860</v>
      </c>
      <c r="I562" s="185" t="s">
        <v>2692</v>
      </c>
      <c r="J562" s="146" t="s">
        <v>2693</v>
      </c>
      <c r="K562" s="247"/>
      <c r="L562" s="186">
        <v>44288</v>
      </c>
      <c r="M562" s="192">
        <v>3260000</v>
      </c>
    </row>
    <row r="563" spans="1:13" hidden="1" x14ac:dyDescent="0.25">
      <c r="A563" s="344"/>
      <c r="B563" s="344" t="s">
        <v>2642</v>
      </c>
      <c r="C563" s="344">
        <v>460</v>
      </c>
      <c r="D563" s="344"/>
      <c r="E563" s="190" t="s">
        <v>434</v>
      </c>
      <c r="F563" s="183" t="s">
        <v>2694</v>
      </c>
      <c r="G563" s="183" t="s">
        <v>2695</v>
      </c>
      <c r="H563" s="184">
        <v>107211000542</v>
      </c>
      <c r="I563" s="185" t="s">
        <v>2696</v>
      </c>
      <c r="J563" s="146" t="s">
        <v>2697</v>
      </c>
      <c r="K563" s="247"/>
      <c r="L563" s="186">
        <v>44288</v>
      </c>
      <c r="M563" s="192">
        <v>3450000</v>
      </c>
    </row>
    <row r="564" spans="1:13" hidden="1" x14ac:dyDescent="0.25">
      <c r="A564" s="344"/>
      <c r="B564" s="344" t="s">
        <v>3241</v>
      </c>
      <c r="C564" s="344">
        <v>461</v>
      </c>
      <c r="D564" s="344"/>
      <c r="E564" s="190" t="s">
        <v>434</v>
      </c>
      <c r="F564" s="183" t="s">
        <v>2698</v>
      </c>
      <c r="G564" s="183" t="s">
        <v>2699</v>
      </c>
      <c r="H564" s="184">
        <v>101211120411</v>
      </c>
      <c r="I564" s="185" t="s">
        <v>2700</v>
      </c>
      <c r="J564" s="146" t="s">
        <v>2701</v>
      </c>
      <c r="K564" s="247"/>
      <c r="L564" s="186">
        <v>44288</v>
      </c>
      <c r="M564" s="192">
        <v>3450000</v>
      </c>
    </row>
    <row r="565" spans="1:13" hidden="1" x14ac:dyDescent="0.25">
      <c r="A565" s="344">
        <v>336</v>
      </c>
      <c r="B565" s="344" t="s">
        <v>2631</v>
      </c>
      <c r="C565" s="344">
        <v>462</v>
      </c>
      <c r="D565" s="344"/>
      <c r="E565" s="190" t="s">
        <v>434</v>
      </c>
      <c r="F565" s="183" t="s">
        <v>1616</v>
      </c>
      <c r="G565" s="183" t="s">
        <v>2702</v>
      </c>
      <c r="H565" s="184">
        <v>101221131911</v>
      </c>
      <c r="I565" s="185" t="s">
        <v>2703</v>
      </c>
      <c r="J565" s="146" t="s">
        <v>2704</v>
      </c>
      <c r="K565" s="247"/>
      <c r="L565" s="186">
        <v>44288</v>
      </c>
      <c r="M565" s="192">
        <v>3400000</v>
      </c>
    </row>
    <row r="566" spans="1:13" hidden="1" x14ac:dyDescent="0.25">
      <c r="A566" s="344"/>
      <c r="B566" s="344" t="s">
        <v>2645</v>
      </c>
      <c r="C566" s="344">
        <v>463</v>
      </c>
      <c r="D566" s="344" t="s">
        <v>2668</v>
      </c>
      <c r="E566" s="190" t="s">
        <v>434</v>
      </c>
      <c r="F566" s="183" t="s">
        <v>1121</v>
      </c>
      <c r="G566" s="183" t="s">
        <v>395</v>
      </c>
      <c r="H566" s="184">
        <v>117011000206</v>
      </c>
      <c r="I566" s="185" t="s">
        <v>2705</v>
      </c>
      <c r="J566" s="146" t="s">
        <v>2706</v>
      </c>
      <c r="K566" s="247"/>
      <c r="L566" s="186">
        <v>44294</v>
      </c>
      <c r="M566" s="192">
        <v>3800000</v>
      </c>
    </row>
    <row r="567" spans="1:13" hidden="1" x14ac:dyDescent="0.25">
      <c r="A567" s="344">
        <v>334</v>
      </c>
      <c r="B567" s="344" t="s">
        <v>2629</v>
      </c>
      <c r="C567" s="344">
        <v>464</v>
      </c>
      <c r="D567" s="344"/>
      <c r="E567" s="190" t="s">
        <v>434</v>
      </c>
      <c r="F567" s="183" t="s">
        <v>2707</v>
      </c>
      <c r="G567" s="183" t="s">
        <v>2708</v>
      </c>
      <c r="H567" s="184">
        <v>101981028403</v>
      </c>
      <c r="I567" s="185" t="s">
        <v>2709</v>
      </c>
      <c r="J567" s="146" t="s">
        <v>2710</v>
      </c>
      <c r="K567" s="247"/>
      <c r="L567" s="186">
        <v>44298</v>
      </c>
      <c r="M567" s="192">
        <v>3400000</v>
      </c>
    </row>
    <row r="568" spans="1:13" hidden="1" x14ac:dyDescent="0.25">
      <c r="A568" s="344">
        <v>346</v>
      </c>
      <c r="B568" s="344" t="s">
        <v>2641</v>
      </c>
      <c r="C568" s="344">
        <v>465</v>
      </c>
      <c r="D568" s="344"/>
      <c r="E568" s="190" t="s">
        <v>434</v>
      </c>
      <c r="F568" s="183" t="s">
        <v>2711</v>
      </c>
      <c r="G568" s="183" t="s">
        <v>2712</v>
      </c>
      <c r="H568" s="184">
        <v>102621010463</v>
      </c>
      <c r="I568" s="185" t="s">
        <v>2713</v>
      </c>
      <c r="J568" s="146" t="s">
        <v>2714</v>
      </c>
      <c r="K568" s="247"/>
      <c r="L568" s="186">
        <v>44299</v>
      </c>
      <c r="M568" s="192">
        <v>3400000</v>
      </c>
    </row>
    <row r="569" spans="1:13" hidden="1" x14ac:dyDescent="0.25">
      <c r="A569" s="299">
        <v>315</v>
      </c>
      <c r="B569" s="299" t="s">
        <v>2372</v>
      </c>
      <c r="C569" s="299">
        <v>466</v>
      </c>
      <c r="D569" s="299"/>
      <c r="E569" s="525" t="s">
        <v>87</v>
      </c>
      <c r="F569" s="293" t="s">
        <v>2155</v>
      </c>
      <c r="G569" s="293" t="s">
        <v>2716</v>
      </c>
      <c r="H569" s="294">
        <v>101241153104</v>
      </c>
      <c r="I569" s="295" t="s">
        <v>2717</v>
      </c>
      <c r="J569" s="296" t="s">
        <v>2718</v>
      </c>
      <c r="K569" s="297" t="s">
        <v>2744</v>
      </c>
      <c r="L569" s="298">
        <v>44300</v>
      </c>
      <c r="M569" s="300">
        <v>2600000</v>
      </c>
    </row>
    <row r="570" spans="1:13" hidden="1" x14ac:dyDescent="0.25">
      <c r="A570" s="344">
        <v>342</v>
      </c>
      <c r="B570" s="344" t="s">
        <v>2637</v>
      </c>
      <c r="C570" s="344">
        <v>467</v>
      </c>
      <c r="D570" s="344"/>
      <c r="E570" s="190" t="s">
        <v>434</v>
      </c>
      <c r="F570" s="183" t="s">
        <v>2719</v>
      </c>
      <c r="G570" s="183" t="s">
        <v>2720</v>
      </c>
      <c r="H570" s="184">
        <v>101211172814</v>
      </c>
      <c r="I570" s="185" t="s">
        <v>2721</v>
      </c>
      <c r="J570" s="146" t="s">
        <v>2722</v>
      </c>
      <c r="K570" s="247"/>
      <c r="L570" s="186">
        <v>44300</v>
      </c>
      <c r="M570" s="192">
        <v>3320000</v>
      </c>
    </row>
    <row r="571" spans="1:13" hidden="1" x14ac:dyDescent="0.25">
      <c r="A571" s="344" t="s">
        <v>2724</v>
      </c>
      <c r="B571" s="344" t="s">
        <v>2725</v>
      </c>
      <c r="C571" s="344"/>
      <c r="D571" s="344" t="s">
        <v>2726</v>
      </c>
      <c r="E571" s="190" t="s">
        <v>87</v>
      </c>
      <c r="F571" s="183" t="s">
        <v>2727</v>
      </c>
      <c r="G571" s="183" t="s">
        <v>2728</v>
      </c>
      <c r="H571" s="184">
        <v>103111016728</v>
      </c>
      <c r="I571" s="185" t="s">
        <v>2729</v>
      </c>
      <c r="J571" s="146" t="s">
        <v>2730</v>
      </c>
      <c r="K571" s="247"/>
      <c r="L571" s="186">
        <v>44306</v>
      </c>
      <c r="M571" s="192">
        <v>2700000</v>
      </c>
    </row>
    <row r="572" spans="1:13" hidden="1" x14ac:dyDescent="0.25">
      <c r="A572" s="344">
        <v>340</v>
      </c>
      <c r="B572" s="344" t="s">
        <v>2635</v>
      </c>
      <c r="C572" s="344">
        <v>468</v>
      </c>
      <c r="D572" s="344"/>
      <c r="E572" s="190" t="s">
        <v>434</v>
      </c>
      <c r="F572" s="183" t="s">
        <v>2735</v>
      </c>
      <c r="G572" s="183" t="s">
        <v>2736</v>
      </c>
      <c r="H572" s="184">
        <v>401031008179</v>
      </c>
      <c r="I572" s="185" t="s">
        <v>2737</v>
      </c>
      <c r="J572" s="146" t="s">
        <v>2738</v>
      </c>
      <c r="K572" s="247"/>
      <c r="L572" s="186">
        <v>44307</v>
      </c>
      <c r="M572" s="192">
        <v>3700000</v>
      </c>
    </row>
    <row r="573" spans="1:13" hidden="1" x14ac:dyDescent="0.25">
      <c r="A573" s="344">
        <v>333</v>
      </c>
      <c r="B573" s="344" t="s">
        <v>2628</v>
      </c>
      <c r="C573" s="344">
        <v>469</v>
      </c>
      <c r="D573" s="344"/>
      <c r="E573" s="190" t="s">
        <v>434</v>
      </c>
      <c r="F573" s="183" t="s">
        <v>2731</v>
      </c>
      <c r="G573" s="183" t="s">
        <v>2732</v>
      </c>
      <c r="H573" s="184">
        <v>117151006204</v>
      </c>
      <c r="I573" s="185" t="s">
        <v>2733</v>
      </c>
      <c r="J573" s="146" t="s">
        <v>2734</v>
      </c>
      <c r="K573" s="247"/>
      <c r="L573" s="186">
        <v>44303</v>
      </c>
      <c r="M573" s="192">
        <v>3300000</v>
      </c>
    </row>
    <row r="574" spans="1:13" hidden="1" x14ac:dyDescent="0.25">
      <c r="A574" s="344"/>
      <c r="B574" s="344" t="s">
        <v>2725</v>
      </c>
      <c r="C574" s="344">
        <v>470</v>
      </c>
      <c r="D574" s="344" t="s">
        <v>2745</v>
      </c>
      <c r="E574" s="190" t="s">
        <v>28</v>
      </c>
      <c r="F574" s="183" t="s">
        <v>2118</v>
      </c>
      <c r="G574" s="183" t="s">
        <v>2741</v>
      </c>
      <c r="H574" s="184"/>
      <c r="I574" s="185" t="s">
        <v>2742</v>
      </c>
      <c r="J574" s="146" t="s">
        <v>2743</v>
      </c>
      <c r="K574" s="247"/>
      <c r="L574" s="186">
        <v>44309</v>
      </c>
      <c r="M574" s="192">
        <v>2580000</v>
      </c>
    </row>
    <row r="575" spans="1:13" hidden="1" x14ac:dyDescent="0.25">
      <c r="A575" s="344">
        <v>344</v>
      </c>
      <c r="B575" s="344" t="s">
        <v>2639</v>
      </c>
      <c r="C575" s="344">
        <v>471</v>
      </c>
      <c r="D575" s="344"/>
      <c r="E575" s="190" t="s">
        <v>434</v>
      </c>
      <c r="F575" s="183" t="s">
        <v>2155</v>
      </c>
      <c r="G575" s="183" t="s">
        <v>2716</v>
      </c>
      <c r="H575" s="198">
        <v>101241153104</v>
      </c>
      <c r="I575" s="526" t="s">
        <v>2717</v>
      </c>
      <c r="J575" s="428" t="s">
        <v>2718</v>
      </c>
      <c r="K575" s="247"/>
      <c r="L575" s="186">
        <v>44312</v>
      </c>
      <c r="M575" s="192">
        <v>3600000</v>
      </c>
    </row>
    <row r="576" spans="1:13" hidden="1" x14ac:dyDescent="0.25">
      <c r="A576" s="344"/>
      <c r="B576" s="344" t="s">
        <v>2746</v>
      </c>
      <c r="C576" s="344">
        <v>472</v>
      </c>
      <c r="D576" s="344"/>
      <c r="E576" s="190" t="s">
        <v>1712</v>
      </c>
      <c r="F576" s="183" t="s">
        <v>2747</v>
      </c>
      <c r="G576" s="183" t="s">
        <v>2748</v>
      </c>
      <c r="H576" s="184">
        <v>101221090877</v>
      </c>
      <c r="I576" s="185" t="s">
        <v>2749</v>
      </c>
      <c r="J576" s="146" t="s">
        <v>2750</v>
      </c>
      <c r="K576" s="247"/>
      <c r="L576" s="186">
        <v>44314</v>
      </c>
      <c r="M576" s="192">
        <v>2350000</v>
      </c>
    </row>
    <row r="577" spans="1:13" hidden="1" x14ac:dyDescent="0.25">
      <c r="A577" s="344"/>
      <c r="B577" s="344" t="s">
        <v>2426</v>
      </c>
      <c r="C577" s="344">
        <v>473</v>
      </c>
      <c r="D577" s="344"/>
      <c r="E577" s="190" t="s">
        <v>434</v>
      </c>
      <c r="F577" s="183" t="s">
        <v>2757</v>
      </c>
      <c r="G577" s="183" t="s">
        <v>2758</v>
      </c>
      <c r="H577" s="184">
        <v>101241177416</v>
      </c>
      <c r="I577" s="185" t="s">
        <v>2759</v>
      </c>
      <c r="J577" s="146" t="s">
        <v>2760</v>
      </c>
      <c r="K577" s="247"/>
      <c r="L577" s="186">
        <v>44315</v>
      </c>
      <c r="M577" s="192">
        <v>3400000</v>
      </c>
    </row>
    <row r="578" spans="1:13" hidden="1" x14ac:dyDescent="0.25">
      <c r="A578" s="344" t="s">
        <v>2766</v>
      </c>
      <c r="B578" s="344" t="s">
        <v>2561</v>
      </c>
      <c r="C578" s="344">
        <v>474</v>
      </c>
      <c r="D578" s="344"/>
      <c r="E578" s="190" t="s">
        <v>224</v>
      </c>
      <c r="F578" s="183" t="s">
        <v>2761</v>
      </c>
      <c r="G578" s="183" t="s">
        <v>2762</v>
      </c>
      <c r="H578" s="184">
        <v>101231159286</v>
      </c>
      <c r="I578" s="185" t="s">
        <v>2763</v>
      </c>
      <c r="J578" s="146" t="s">
        <v>2764</v>
      </c>
      <c r="K578" s="247"/>
      <c r="L578" s="186">
        <v>44312</v>
      </c>
      <c r="M578" s="192">
        <v>2000000</v>
      </c>
    </row>
    <row r="579" spans="1:13" hidden="1" x14ac:dyDescent="0.25">
      <c r="A579" s="344">
        <v>337</v>
      </c>
      <c r="B579" s="344" t="s">
        <v>2632</v>
      </c>
      <c r="C579" s="344">
        <v>475</v>
      </c>
      <c r="D579" s="344"/>
      <c r="E579" s="190" t="s">
        <v>434</v>
      </c>
      <c r="F579" s="183" t="s">
        <v>2070</v>
      </c>
      <c r="G579" s="183" t="s">
        <v>2767</v>
      </c>
      <c r="H579" s="184">
        <v>101251161464</v>
      </c>
      <c r="I579" s="185" t="s">
        <v>2768</v>
      </c>
      <c r="J579" s="146" t="s">
        <v>2769</v>
      </c>
      <c r="K579" s="247"/>
      <c r="L579" s="186">
        <v>44316</v>
      </c>
      <c r="M579" s="192">
        <v>3400000</v>
      </c>
    </row>
    <row r="580" spans="1:13" hidden="1" x14ac:dyDescent="0.25">
      <c r="A580" s="211">
        <v>357</v>
      </c>
      <c r="B580" s="211" t="s">
        <v>2755</v>
      </c>
      <c r="C580" s="211"/>
      <c r="D580" s="211">
        <v>208</v>
      </c>
      <c r="E580" s="490" t="s">
        <v>87</v>
      </c>
      <c r="F580" s="360" t="s">
        <v>2727</v>
      </c>
      <c r="G580" s="360" t="s">
        <v>2728</v>
      </c>
      <c r="H580" s="198">
        <v>103111016728</v>
      </c>
      <c r="I580" s="526" t="s">
        <v>2770</v>
      </c>
      <c r="J580" s="428" t="s">
        <v>2730</v>
      </c>
      <c r="K580" s="529"/>
      <c r="L580" s="276">
        <v>44320</v>
      </c>
      <c r="M580" s="530">
        <v>2900000</v>
      </c>
    </row>
    <row r="581" spans="1:13" hidden="1" x14ac:dyDescent="0.25">
      <c r="A581" s="211"/>
      <c r="B581" s="211" t="s">
        <v>2771</v>
      </c>
      <c r="C581" s="211">
        <v>476</v>
      </c>
      <c r="D581" s="211"/>
      <c r="E581" s="490" t="s">
        <v>434</v>
      </c>
      <c r="F581" s="360" t="s">
        <v>2772</v>
      </c>
      <c r="G581" s="360" t="s">
        <v>2773</v>
      </c>
      <c r="H581" s="198">
        <v>510011027767</v>
      </c>
      <c r="I581" s="526" t="s">
        <v>2774</v>
      </c>
      <c r="J581" s="428" t="s">
        <v>2775</v>
      </c>
      <c r="K581" s="529"/>
      <c r="L581" s="276">
        <v>44320</v>
      </c>
      <c r="M581" s="530">
        <v>3400000</v>
      </c>
    </row>
    <row r="582" spans="1:13" hidden="1" x14ac:dyDescent="0.25">
      <c r="A582" s="211">
        <v>339</v>
      </c>
      <c r="B582" s="211" t="s">
        <v>2634</v>
      </c>
      <c r="C582" s="211">
        <v>477</v>
      </c>
      <c r="D582" s="211"/>
      <c r="E582" s="490" t="s">
        <v>435</v>
      </c>
      <c r="F582" s="360" t="s">
        <v>2776</v>
      </c>
      <c r="G582" s="360" t="s">
        <v>2777</v>
      </c>
      <c r="H582" s="198">
        <v>102341006127</v>
      </c>
      <c r="I582" s="526" t="s">
        <v>2778</v>
      </c>
      <c r="J582" s="428" t="s">
        <v>2779</v>
      </c>
      <c r="K582" s="529"/>
      <c r="L582" s="276">
        <v>44320</v>
      </c>
      <c r="M582" s="530">
        <v>3300000</v>
      </c>
    </row>
    <row r="583" spans="1:13" hidden="1" x14ac:dyDescent="0.25">
      <c r="A583" s="211">
        <v>351</v>
      </c>
      <c r="B583" s="211" t="s">
        <v>2646</v>
      </c>
      <c r="C583" s="211">
        <v>478</v>
      </c>
      <c r="D583" s="211"/>
      <c r="E583" s="490" t="s">
        <v>434</v>
      </c>
      <c r="F583" s="360" t="s">
        <v>1350</v>
      </c>
      <c r="G583" s="360" t="s">
        <v>2780</v>
      </c>
      <c r="H583" s="198">
        <v>301011009562</v>
      </c>
      <c r="I583" s="526" t="s">
        <v>2781</v>
      </c>
      <c r="J583" s="428" t="s">
        <v>2782</v>
      </c>
      <c r="K583" s="529"/>
      <c r="L583" s="276">
        <v>44321</v>
      </c>
      <c r="M583" s="530">
        <v>3100000</v>
      </c>
    </row>
    <row r="584" spans="1:13" hidden="1" x14ac:dyDescent="0.25">
      <c r="A584" s="211"/>
      <c r="B584" s="211" t="s">
        <v>2052</v>
      </c>
      <c r="C584" s="211"/>
      <c r="D584" s="211">
        <v>209</v>
      </c>
      <c r="E584" s="490" t="s">
        <v>434</v>
      </c>
      <c r="F584" s="360" t="s">
        <v>2974</v>
      </c>
      <c r="G584" s="360" t="s">
        <v>2786</v>
      </c>
      <c r="H584" s="198">
        <v>101231162066</v>
      </c>
      <c r="I584" s="526" t="s">
        <v>2787</v>
      </c>
      <c r="J584" s="428" t="s">
        <v>2788</v>
      </c>
      <c r="K584" s="529" t="s">
        <v>2789</v>
      </c>
      <c r="L584" s="276">
        <v>44327</v>
      </c>
      <c r="M584" s="530">
        <v>3700000</v>
      </c>
    </row>
    <row r="585" spans="1:13" hidden="1" x14ac:dyDescent="0.25">
      <c r="A585" s="211"/>
      <c r="B585" s="211" t="s">
        <v>1854</v>
      </c>
      <c r="C585" s="211">
        <v>479</v>
      </c>
      <c r="D585" s="211" t="s">
        <v>2790</v>
      </c>
      <c r="E585" s="490" t="s">
        <v>434</v>
      </c>
      <c r="F585" s="360" t="s">
        <v>2791</v>
      </c>
      <c r="G585" s="360" t="s">
        <v>2792</v>
      </c>
      <c r="H585" s="198">
        <v>101222077633</v>
      </c>
      <c r="I585" s="526" t="s">
        <v>2793</v>
      </c>
      <c r="J585" s="428" t="s">
        <v>2794</v>
      </c>
      <c r="K585" s="529"/>
      <c r="L585" s="276">
        <v>44263</v>
      </c>
      <c r="M585" s="530">
        <v>4600000</v>
      </c>
    </row>
    <row r="586" spans="1:13" hidden="1" x14ac:dyDescent="0.25">
      <c r="A586" s="211">
        <v>353</v>
      </c>
      <c r="B586" s="211" t="s">
        <v>2751</v>
      </c>
      <c r="C586" s="211">
        <v>480</v>
      </c>
      <c r="D586" s="211"/>
      <c r="E586" s="490" t="s">
        <v>436</v>
      </c>
      <c r="F586" s="360" t="s">
        <v>2795</v>
      </c>
      <c r="G586" s="360" t="s">
        <v>2796</v>
      </c>
      <c r="H586" s="198">
        <v>501011032521</v>
      </c>
      <c r="I586" s="526" t="s">
        <v>2797</v>
      </c>
      <c r="J586" s="428" t="s">
        <v>2798</v>
      </c>
      <c r="K586" s="529"/>
      <c r="L586" s="276">
        <v>44326</v>
      </c>
      <c r="M586" s="530">
        <v>3300000</v>
      </c>
    </row>
    <row r="587" spans="1:13" hidden="1" x14ac:dyDescent="0.25">
      <c r="A587" s="211"/>
      <c r="B587" s="211" t="s">
        <v>1850</v>
      </c>
      <c r="C587" s="211">
        <v>481</v>
      </c>
      <c r="D587" s="211" t="s">
        <v>1915</v>
      </c>
      <c r="E587" s="490" t="s">
        <v>87</v>
      </c>
      <c r="F587" s="360" t="s">
        <v>2799</v>
      </c>
      <c r="G587" s="360" t="s">
        <v>2800</v>
      </c>
      <c r="H587" s="198">
        <v>101251115367</v>
      </c>
      <c r="I587" s="526" t="s">
        <v>2801</v>
      </c>
      <c r="J587" s="428" t="s">
        <v>2802</v>
      </c>
      <c r="K587" s="529"/>
      <c r="L587" s="276">
        <v>44326</v>
      </c>
      <c r="M587" s="530">
        <v>2700000</v>
      </c>
    </row>
    <row r="588" spans="1:13" hidden="1" x14ac:dyDescent="0.25">
      <c r="A588" s="211">
        <v>359</v>
      </c>
      <c r="B588" s="211" t="s">
        <v>2785</v>
      </c>
      <c r="C588" s="211">
        <v>482</v>
      </c>
      <c r="D588" s="211"/>
      <c r="E588" s="490" t="s">
        <v>87</v>
      </c>
      <c r="F588" s="360" t="s">
        <v>2803</v>
      </c>
      <c r="G588" s="360" t="s">
        <v>462</v>
      </c>
      <c r="H588" s="198">
        <v>107231006279</v>
      </c>
      <c r="I588" s="526" t="s">
        <v>2804</v>
      </c>
      <c r="J588" s="428" t="s">
        <v>2805</v>
      </c>
      <c r="K588" s="529"/>
      <c r="L588" s="276">
        <v>44327</v>
      </c>
      <c r="M588" s="530">
        <v>2400000</v>
      </c>
    </row>
    <row r="589" spans="1:13" hidden="1" x14ac:dyDescent="0.25">
      <c r="A589" s="211">
        <v>362</v>
      </c>
      <c r="B589" s="211" t="s">
        <v>2806</v>
      </c>
      <c r="C589" s="211">
        <v>483</v>
      </c>
      <c r="D589" s="211"/>
      <c r="E589" s="490" t="s">
        <v>87</v>
      </c>
      <c r="F589" s="360" t="s">
        <v>2807</v>
      </c>
      <c r="G589" s="360" t="s">
        <v>2808</v>
      </c>
      <c r="H589" s="198">
        <v>102032007405</v>
      </c>
      <c r="I589" s="526" t="s">
        <v>2809</v>
      </c>
      <c r="J589" s="428" t="s">
        <v>2810</v>
      </c>
      <c r="K589" s="529"/>
      <c r="L589" s="276">
        <v>44329</v>
      </c>
      <c r="M589" s="530">
        <v>2700000</v>
      </c>
    </row>
    <row r="590" spans="1:13" hidden="1" x14ac:dyDescent="0.25">
      <c r="A590" s="211">
        <v>355</v>
      </c>
      <c r="B590" s="211" t="s">
        <v>2753</v>
      </c>
      <c r="C590" s="211">
        <v>484</v>
      </c>
      <c r="D590" s="211"/>
      <c r="E590" s="490" t="s">
        <v>436</v>
      </c>
      <c r="F590" s="360" t="s">
        <v>63</v>
      </c>
      <c r="G590" s="360" t="s">
        <v>2812</v>
      </c>
      <c r="H590" s="198">
        <v>102091015672</v>
      </c>
      <c r="I590" s="526" t="s">
        <v>2813</v>
      </c>
      <c r="J590" s="428" t="s">
        <v>2814</v>
      </c>
      <c r="K590" s="529"/>
      <c r="L590" s="276">
        <v>44330</v>
      </c>
      <c r="M590" s="530">
        <v>3300000</v>
      </c>
    </row>
    <row r="591" spans="1:13" hidden="1" x14ac:dyDescent="0.25">
      <c r="A591" s="211"/>
      <c r="B591" s="211" t="s">
        <v>2815</v>
      </c>
      <c r="C591" s="211">
        <v>485</v>
      </c>
      <c r="D591" s="211"/>
      <c r="E591" s="490" t="s">
        <v>1433</v>
      </c>
      <c r="F591" s="360" t="s">
        <v>2816</v>
      </c>
      <c r="G591" s="360" t="s">
        <v>2817</v>
      </c>
      <c r="H591" s="198">
        <v>508991018748</v>
      </c>
      <c r="I591" s="526" t="s">
        <v>2818</v>
      </c>
      <c r="J591" s="428" t="s">
        <v>857</v>
      </c>
      <c r="K591" s="529"/>
      <c r="L591" s="276">
        <v>44256</v>
      </c>
      <c r="M591" s="530">
        <v>1600000</v>
      </c>
    </row>
    <row r="592" spans="1:13" hidden="1" x14ac:dyDescent="0.25">
      <c r="A592" s="211">
        <v>357</v>
      </c>
      <c r="B592" s="211" t="s">
        <v>2755</v>
      </c>
      <c r="C592" s="211">
        <v>486</v>
      </c>
      <c r="D592" s="211"/>
      <c r="E592" s="172" t="s">
        <v>87</v>
      </c>
      <c r="F592" s="537" t="s">
        <v>2832</v>
      </c>
      <c r="G592" s="360" t="s">
        <v>2833</v>
      </c>
      <c r="H592" s="198">
        <v>520151006803</v>
      </c>
      <c r="I592" s="526" t="s">
        <v>2834</v>
      </c>
      <c r="J592" s="428" t="s">
        <v>857</v>
      </c>
      <c r="K592" s="529"/>
      <c r="L592" s="276">
        <v>44333</v>
      </c>
      <c r="M592" s="530">
        <v>3000000</v>
      </c>
    </row>
    <row r="593" spans="1:13" hidden="1" x14ac:dyDescent="0.25">
      <c r="A593" s="211">
        <v>360</v>
      </c>
      <c r="B593" s="211" t="s">
        <v>2819</v>
      </c>
      <c r="C593" s="211">
        <v>487</v>
      </c>
      <c r="D593" s="211"/>
      <c r="E593" s="490" t="s">
        <v>87</v>
      </c>
      <c r="F593" s="360" t="s">
        <v>2118</v>
      </c>
      <c r="G593" s="360" t="s">
        <v>2835</v>
      </c>
      <c r="H593" s="198">
        <v>102091034863</v>
      </c>
      <c r="I593" s="526" t="s">
        <v>2836</v>
      </c>
      <c r="J593" s="428" t="s">
        <v>2837</v>
      </c>
      <c r="K593" s="529"/>
      <c r="L593" s="276">
        <v>44333</v>
      </c>
      <c r="M593" s="530">
        <v>2350000</v>
      </c>
    </row>
    <row r="594" spans="1:13" hidden="1" x14ac:dyDescent="0.25">
      <c r="A594" s="211">
        <v>358</v>
      </c>
      <c r="B594" s="211" t="s">
        <v>2756</v>
      </c>
      <c r="C594" s="211">
        <v>488</v>
      </c>
      <c r="D594" s="211"/>
      <c r="E594" s="490" t="s">
        <v>87</v>
      </c>
      <c r="F594" s="360" t="s">
        <v>2838</v>
      </c>
      <c r="G594" s="360" t="s">
        <v>2839</v>
      </c>
      <c r="H594" s="198">
        <v>101251151511</v>
      </c>
      <c r="I594" s="526" t="s">
        <v>2840</v>
      </c>
      <c r="J594" s="428" t="s">
        <v>2841</v>
      </c>
      <c r="K594" s="529"/>
      <c r="L594" s="276">
        <v>44335</v>
      </c>
      <c r="M594" s="530">
        <v>2400000</v>
      </c>
    </row>
    <row r="595" spans="1:13" hidden="1" x14ac:dyDescent="0.25">
      <c r="A595" s="211">
        <v>365</v>
      </c>
      <c r="B595" s="211" t="s">
        <v>2824</v>
      </c>
      <c r="C595" s="211">
        <v>489</v>
      </c>
      <c r="D595" s="211"/>
      <c r="E595" s="490" t="s">
        <v>224</v>
      </c>
      <c r="F595" s="360" t="s">
        <v>2842</v>
      </c>
      <c r="G595" s="360" t="s">
        <v>2843</v>
      </c>
      <c r="H595" s="198">
        <v>102252003058</v>
      </c>
      <c r="I595" s="526" t="s">
        <v>2844</v>
      </c>
      <c r="J595" s="428" t="s">
        <v>2845</v>
      </c>
      <c r="K595" s="529"/>
      <c r="L595" s="276">
        <v>44335</v>
      </c>
      <c r="M595" s="530">
        <v>1880000</v>
      </c>
    </row>
    <row r="596" spans="1:13" hidden="1" x14ac:dyDescent="0.25">
      <c r="A596" s="211">
        <v>370</v>
      </c>
      <c r="B596" s="211" t="s">
        <v>2820</v>
      </c>
      <c r="C596" s="211">
        <v>490</v>
      </c>
      <c r="D596" s="211"/>
      <c r="E596" s="490" t="s">
        <v>435</v>
      </c>
      <c r="F596" s="360" t="s">
        <v>1834</v>
      </c>
      <c r="G596" s="360" t="s">
        <v>2846</v>
      </c>
      <c r="H596" s="198">
        <v>101239144024</v>
      </c>
      <c r="I596" s="526" t="s">
        <v>2847</v>
      </c>
      <c r="J596" s="428" t="s">
        <v>2848</v>
      </c>
      <c r="K596" s="529"/>
      <c r="L596" s="276">
        <v>44335</v>
      </c>
      <c r="M596" s="530">
        <v>3350000</v>
      </c>
    </row>
    <row r="597" spans="1:13" hidden="1" x14ac:dyDescent="0.25">
      <c r="A597" s="211">
        <v>371</v>
      </c>
      <c r="B597" s="211" t="s">
        <v>2830</v>
      </c>
      <c r="C597" s="211">
        <v>491</v>
      </c>
      <c r="D597" s="211"/>
      <c r="E597" s="490" t="s">
        <v>87</v>
      </c>
      <c r="F597" s="360" t="s">
        <v>2849</v>
      </c>
      <c r="G597" s="360" t="s">
        <v>2850</v>
      </c>
      <c r="H597" s="198">
        <v>316011012261</v>
      </c>
      <c r="I597" s="526" t="s">
        <v>2851</v>
      </c>
      <c r="J597" s="428" t="s">
        <v>2852</v>
      </c>
      <c r="K597" s="529"/>
      <c r="L597" s="276">
        <v>44337</v>
      </c>
      <c r="M597" s="530">
        <v>2800000</v>
      </c>
    </row>
    <row r="598" spans="1:13" hidden="1" x14ac:dyDescent="0.25">
      <c r="A598" s="211">
        <v>364</v>
      </c>
      <c r="B598" s="211" t="s">
        <v>2823</v>
      </c>
      <c r="C598" s="211">
        <v>492</v>
      </c>
      <c r="D598" s="211"/>
      <c r="E598" s="490" t="s">
        <v>224</v>
      </c>
      <c r="F598" s="360" t="s">
        <v>2853</v>
      </c>
      <c r="G598" s="360" t="s">
        <v>2854</v>
      </c>
      <c r="H598" s="198">
        <v>117071018546</v>
      </c>
      <c r="I598" s="526" t="s">
        <v>2855</v>
      </c>
      <c r="J598" s="428" t="s">
        <v>2856</v>
      </c>
      <c r="K598" s="529"/>
      <c r="L598" s="276">
        <v>44337</v>
      </c>
      <c r="M598" s="530">
        <v>1870000</v>
      </c>
    </row>
    <row r="599" spans="1:13" hidden="1" x14ac:dyDescent="0.25">
      <c r="A599" s="211">
        <v>94</v>
      </c>
      <c r="B599" s="211" t="s">
        <v>538</v>
      </c>
      <c r="C599" s="211">
        <v>493</v>
      </c>
      <c r="D599" s="211" t="s">
        <v>2861</v>
      </c>
      <c r="E599" s="490" t="s">
        <v>87</v>
      </c>
      <c r="F599" s="360" t="s">
        <v>2857</v>
      </c>
      <c r="G599" s="360" t="s">
        <v>2858</v>
      </c>
      <c r="H599" s="198">
        <v>101211250467</v>
      </c>
      <c r="I599" s="526" t="s">
        <v>2859</v>
      </c>
      <c r="J599" s="428" t="s">
        <v>2860</v>
      </c>
      <c r="K599" s="529"/>
      <c r="L599" s="276">
        <v>44341</v>
      </c>
      <c r="M599" s="530">
        <v>2600000</v>
      </c>
    </row>
    <row r="600" spans="1:13" hidden="1" x14ac:dyDescent="0.25">
      <c r="A600" s="211" t="s">
        <v>2862</v>
      </c>
      <c r="B600" s="211" t="s">
        <v>2863</v>
      </c>
      <c r="C600" s="211"/>
      <c r="D600" s="211">
        <v>211</v>
      </c>
      <c r="E600" s="490" t="s">
        <v>224</v>
      </c>
      <c r="F600" s="360" t="s">
        <v>2864</v>
      </c>
      <c r="G600" s="360" t="s">
        <v>473</v>
      </c>
      <c r="H600" s="198">
        <v>103111015024</v>
      </c>
      <c r="I600" s="526" t="s">
        <v>2865</v>
      </c>
      <c r="J600" s="428" t="s">
        <v>2866</v>
      </c>
      <c r="K600" s="529"/>
      <c r="L600" s="276">
        <v>44335</v>
      </c>
      <c r="M600" s="530">
        <v>2200000</v>
      </c>
    </row>
    <row r="601" spans="1:13" hidden="1" x14ac:dyDescent="0.25">
      <c r="A601" s="211" t="s">
        <v>2862</v>
      </c>
      <c r="B601" s="211" t="s">
        <v>2871</v>
      </c>
      <c r="C601" s="211"/>
      <c r="D601" s="211">
        <v>212</v>
      </c>
      <c r="E601" s="490" t="s">
        <v>434</v>
      </c>
      <c r="F601" s="360" t="s">
        <v>2872</v>
      </c>
      <c r="G601" s="360" t="s">
        <v>2873</v>
      </c>
      <c r="H601" s="198">
        <v>101231147507</v>
      </c>
      <c r="I601" s="526" t="s">
        <v>2874</v>
      </c>
      <c r="J601" s="428" t="s">
        <v>2875</v>
      </c>
      <c r="K601" s="529"/>
      <c r="L601" s="276">
        <v>44341</v>
      </c>
      <c r="M601" s="530">
        <v>3700000</v>
      </c>
    </row>
    <row r="602" spans="1:13" hidden="1" x14ac:dyDescent="0.25">
      <c r="A602" s="211">
        <v>363</v>
      </c>
      <c r="B602" s="211" t="s">
        <v>2821</v>
      </c>
      <c r="C602" s="211">
        <v>494</v>
      </c>
      <c r="D602" s="211"/>
      <c r="E602" s="490" t="s">
        <v>224</v>
      </c>
      <c r="F602" s="360" t="s">
        <v>63</v>
      </c>
      <c r="G602" s="360" t="s">
        <v>2876</v>
      </c>
      <c r="H602" s="198">
        <v>101211187661</v>
      </c>
      <c r="I602" s="526" t="s">
        <v>2877</v>
      </c>
      <c r="J602" s="428" t="s">
        <v>2878</v>
      </c>
      <c r="K602" s="529"/>
      <c r="L602" s="276">
        <v>44341</v>
      </c>
      <c r="M602" s="530">
        <v>2100000</v>
      </c>
    </row>
    <row r="603" spans="1:13" hidden="1" x14ac:dyDescent="0.25">
      <c r="A603" s="211">
        <v>372</v>
      </c>
      <c r="B603" s="211" t="s">
        <v>2870</v>
      </c>
      <c r="C603" s="211">
        <v>495</v>
      </c>
      <c r="D603" s="211"/>
      <c r="E603" s="490" t="s">
        <v>87</v>
      </c>
      <c r="F603" s="360" t="s">
        <v>2879</v>
      </c>
      <c r="G603" s="360" t="s">
        <v>2880</v>
      </c>
      <c r="H603" s="198">
        <v>203011012523</v>
      </c>
      <c r="I603" s="526" t="s">
        <v>2881</v>
      </c>
      <c r="J603" s="428" t="s">
        <v>2882</v>
      </c>
      <c r="K603" s="529"/>
      <c r="L603" s="276">
        <v>44344</v>
      </c>
      <c r="M603" s="530">
        <v>2360000</v>
      </c>
    </row>
    <row r="604" spans="1:13" hidden="1" x14ac:dyDescent="0.25">
      <c r="A604" s="211">
        <v>374</v>
      </c>
      <c r="B604" s="211" t="s">
        <v>2868</v>
      </c>
      <c r="C604" s="211">
        <v>496</v>
      </c>
      <c r="D604" s="211"/>
      <c r="E604" s="490" t="s">
        <v>2883</v>
      </c>
      <c r="F604" s="360" t="s">
        <v>2884</v>
      </c>
      <c r="G604" s="360" t="s">
        <v>2885</v>
      </c>
      <c r="H604" s="198">
        <v>108071022539</v>
      </c>
      <c r="I604" s="526" t="s">
        <v>2886</v>
      </c>
      <c r="J604" s="428" t="s">
        <v>2887</v>
      </c>
      <c r="K604" s="529"/>
      <c r="L604" s="276">
        <v>44344</v>
      </c>
      <c r="M604" s="530">
        <v>2400000</v>
      </c>
    </row>
    <row r="605" spans="1:13" hidden="1" x14ac:dyDescent="0.25">
      <c r="A605" s="211"/>
      <c r="B605" s="211" t="s">
        <v>2829</v>
      </c>
      <c r="C605" s="211">
        <v>497</v>
      </c>
      <c r="D605" s="211"/>
      <c r="E605" s="490" t="s">
        <v>87</v>
      </c>
      <c r="F605" s="360" t="s">
        <v>2082</v>
      </c>
      <c r="G605" s="360" t="s">
        <v>2891</v>
      </c>
      <c r="H605" s="198">
        <v>401011038653</v>
      </c>
      <c r="I605" s="526" t="s">
        <v>2892</v>
      </c>
      <c r="J605" s="428" t="s">
        <v>2085</v>
      </c>
      <c r="K605" s="529"/>
      <c r="L605" s="276">
        <v>44348</v>
      </c>
      <c r="M605" s="530"/>
    </row>
    <row r="606" spans="1:13" hidden="1" x14ac:dyDescent="0.25">
      <c r="A606" s="211"/>
      <c r="B606" s="211" t="s">
        <v>116</v>
      </c>
      <c r="C606" s="211">
        <v>498</v>
      </c>
      <c r="D606" s="211"/>
      <c r="E606" s="490" t="s">
        <v>435</v>
      </c>
      <c r="F606" s="360" t="s">
        <v>2895</v>
      </c>
      <c r="G606" s="360" t="s">
        <v>2896</v>
      </c>
      <c r="H606" s="198">
        <v>101231110199</v>
      </c>
      <c r="I606" s="526" t="s">
        <v>2897</v>
      </c>
      <c r="J606" s="428" t="s">
        <v>2898</v>
      </c>
      <c r="K606" s="529"/>
      <c r="L606" s="276">
        <v>44348</v>
      </c>
      <c r="M606" s="530">
        <v>3600000</v>
      </c>
    </row>
    <row r="607" spans="1:13" hidden="1" x14ac:dyDescent="0.25">
      <c r="A607" s="211"/>
      <c r="B607" s="211" t="s">
        <v>2869</v>
      </c>
      <c r="C607" s="211">
        <v>499</v>
      </c>
      <c r="D607" s="211"/>
      <c r="E607" s="490" t="s">
        <v>732</v>
      </c>
      <c r="F607" s="360" t="s">
        <v>484</v>
      </c>
      <c r="G607" s="360" t="s">
        <v>2899</v>
      </c>
      <c r="H607" s="198">
        <v>313011025089</v>
      </c>
      <c r="I607" s="526" t="s">
        <v>2900</v>
      </c>
      <c r="J607" s="428" t="s">
        <v>2901</v>
      </c>
      <c r="K607" s="529"/>
      <c r="L607" s="276">
        <v>44349</v>
      </c>
      <c r="M607" s="530">
        <v>2400000</v>
      </c>
    </row>
    <row r="608" spans="1:13" hidden="1" x14ac:dyDescent="0.25">
      <c r="A608" s="211"/>
      <c r="B608" s="211" t="s">
        <v>2902</v>
      </c>
      <c r="C608" s="211">
        <v>500</v>
      </c>
      <c r="D608" s="211"/>
      <c r="E608" s="490" t="s">
        <v>936</v>
      </c>
      <c r="F608" s="360" t="s">
        <v>2903</v>
      </c>
      <c r="G608" s="360" t="s">
        <v>2904</v>
      </c>
      <c r="H608" s="198">
        <v>501071003019</v>
      </c>
      <c r="I608" s="526" t="s">
        <v>2905</v>
      </c>
      <c r="J608" s="428" t="s">
        <v>2906</v>
      </c>
      <c r="K608" s="529"/>
      <c r="L608" s="276">
        <v>44349</v>
      </c>
      <c r="M608" s="530">
        <v>6400000</v>
      </c>
    </row>
    <row r="609" spans="1:13" hidden="1" x14ac:dyDescent="0.25">
      <c r="A609" s="211"/>
      <c r="B609" s="211" t="s">
        <v>2822</v>
      </c>
      <c r="C609" s="211">
        <v>501</v>
      </c>
      <c r="D609" s="211"/>
      <c r="E609" s="490" t="s">
        <v>87</v>
      </c>
      <c r="F609" s="360" t="s">
        <v>2907</v>
      </c>
      <c r="G609" s="360" t="s">
        <v>2908</v>
      </c>
      <c r="H609" s="198">
        <v>114171008413</v>
      </c>
      <c r="I609" s="526" t="s">
        <v>2909</v>
      </c>
      <c r="J609" s="428" t="s">
        <v>2910</v>
      </c>
      <c r="K609" s="529"/>
      <c r="L609" s="276">
        <v>44350</v>
      </c>
      <c r="M609" s="530">
        <v>2700000</v>
      </c>
    </row>
    <row r="610" spans="1:13" hidden="1" x14ac:dyDescent="0.25">
      <c r="A610" s="211"/>
      <c r="B610" s="211" t="s">
        <v>2828</v>
      </c>
      <c r="C610" s="211">
        <v>502</v>
      </c>
      <c r="D610" s="211"/>
      <c r="E610" s="490" t="s">
        <v>224</v>
      </c>
      <c r="F610" s="360" t="s">
        <v>2911</v>
      </c>
      <c r="G610" s="360" t="s">
        <v>2912</v>
      </c>
      <c r="H610" s="198">
        <v>117051012766</v>
      </c>
      <c r="I610" s="526" t="s">
        <v>2913</v>
      </c>
      <c r="J610" s="428" t="s">
        <v>2914</v>
      </c>
      <c r="K610" s="529"/>
      <c r="L610" s="276">
        <v>44350</v>
      </c>
      <c r="M610" s="530">
        <v>2000000</v>
      </c>
    </row>
    <row r="611" spans="1:13" hidden="1" x14ac:dyDescent="0.25">
      <c r="A611" s="211"/>
      <c r="B611" s="211" t="s">
        <v>2871</v>
      </c>
      <c r="C611" s="211">
        <v>503</v>
      </c>
      <c r="D611" s="211" t="s">
        <v>2967</v>
      </c>
      <c r="E611" s="490" t="s">
        <v>435</v>
      </c>
      <c r="F611" s="360" t="s">
        <v>2872</v>
      </c>
      <c r="G611" s="360" t="s">
        <v>2873</v>
      </c>
      <c r="H611" s="198">
        <v>101231147507</v>
      </c>
      <c r="I611" s="526" t="s">
        <v>2874</v>
      </c>
      <c r="J611" s="428" t="s">
        <v>2875</v>
      </c>
      <c r="K611" s="529"/>
      <c r="L611" s="276">
        <v>44351</v>
      </c>
      <c r="M611" s="530">
        <v>3700000</v>
      </c>
    </row>
    <row r="612" spans="1:13" hidden="1" x14ac:dyDescent="0.25">
      <c r="A612" s="211"/>
      <c r="B612" s="211" t="s">
        <v>2827</v>
      </c>
      <c r="C612" s="211">
        <v>504</v>
      </c>
      <c r="D612" s="211"/>
      <c r="E612" s="490" t="s">
        <v>224</v>
      </c>
      <c r="F612" s="360" t="s">
        <v>2602</v>
      </c>
      <c r="G612" s="360" t="s">
        <v>2915</v>
      </c>
      <c r="H612" s="198">
        <v>101251196056</v>
      </c>
      <c r="I612" s="526" t="s">
        <v>2916</v>
      </c>
      <c r="J612" s="428" t="s">
        <v>2920</v>
      </c>
      <c r="K612" s="529"/>
      <c r="L612" s="276">
        <v>44352</v>
      </c>
      <c r="M612" s="530">
        <v>1950000</v>
      </c>
    </row>
    <row r="613" spans="1:13" hidden="1" x14ac:dyDescent="0.25">
      <c r="A613" s="211"/>
      <c r="B613" s="211" t="s">
        <v>2047</v>
      </c>
      <c r="C613" s="211">
        <v>505</v>
      </c>
      <c r="D613" s="211"/>
      <c r="E613" s="490" t="s">
        <v>87</v>
      </c>
      <c r="F613" s="360" t="s">
        <v>2917</v>
      </c>
      <c r="G613" s="360" t="s">
        <v>2918</v>
      </c>
      <c r="H613" s="198">
        <v>114011010579</v>
      </c>
      <c r="I613" s="526" t="s">
        <v>2919</v>
      </c>
      <c r="J613" s="428" t="s">
        <v>2921</v>
      </c>
      <c r="K613" s="529"/>
      <c r="L613" s="276">
        <v>44352</v>
      </c>
      <c r="M613" s="530">
        <v>2300000</v>
      </c>
    </row>
    <row r="614" spans="1:13" hidden="1" x14ac:dyDescent="0.25">
      <c r="A614" s="211"/>
      <c r="B614" s="211" t="s">
        <v>2052</v>
      </c>
      <c r="C614" s="211">
        <v>506</v>
      </c>
      <c r="D614" s="211"/>
      <c r="E614" s="490" t="s">
        <v>434</v>
      </c>
      <c r="F614" s="360" t="s">
        <v>63</v>
      </c>
      <c r="G614" s="360" t="s">
        <v>2922</v>
      </c>
      <c r="H614" s="198">
        <v>101221101773</v>
      </c>
      <c r="I614" s="526" t="s">
        <v>2923</v>
      </c>
      <c r="J614" s="428" t="s">
        <v>2924</v>
      </c>
      <c r="K614" s="529"/>
      <c r="L614" s="276">
        <v>44352</v>
      </c>
      <c r="M614" s="530">
        <v>3600000</v>
      </c>
    </row>
    <row r="615" spans="1:13" hidden="1" x14ac:dyDescent="0.25">
      <c r="A615" s="211"/>
      <c r="B615" s="211"/>
      <c r="C615" s="211">
        <v>507</v>
      </c>
      <c r="D615" s="211"/>
      <c r="E615" s="490" t="s">
        <v>87</v>
      </c>
      <c r="F615" s="360" t="s">
        <v>1316</v>
      </c>
      <c r="G615" s="360" t="s">
        <v>2677</v>
      </c>
      <c r="H615" s="198">
        <v>101252176497</v>
      </c>
      <c r="I615" s="526" t="s">
        <v>2932</v>
      </c>
      <c r="J615" s="428" t="s">
        <v>2933</v>
      </c>
      <c r="K615" s="529"/>
      <c r="L615" s="276">
        <v>44352</v>
      </c>
      <c r="M615" s="530">
        <v>2600000</v>
      </c>
    </row>
    <row r="616" spans="1:13" hidden="1" x14ac:dyDescent="0.25">
      <c r="A616" s="344"/>
      <c r="B616" s="344" t="s">
        <v>2825</v>
      </c>
      <c r="C616" s="344">
        <v>508</v>
      </c>
      <c r="D616" s="344"/>
      <c r="E616" s="190" t="s">
        <v>224</v>
      </c>
      <c r="F616" s="183" t="s">
        <v>2934</v>
      </c>
      <c r="G616" s="183" t="s">
        <v>2935</v>
      </c>
      <c r="H616" s="184">
        <v>108051012809</v>
      </c>
      <c r="I616" s="185" t="s">
        <v>2936</v>
      </c>
      <c r="J616" s="146" t="s">
        <v>2937</v>
      </c>
      <c r="K616" s="247"/>
      <c r="L616" s="186">
        <v>44355</v>
      </c>
      <c r="M616" s="530">
        <v>2000000</v>
      </c>
    </row>
    <row r="617" spans="1:13" hidden="1" x14ac:dyDescent="0.25">
      <c r="A617" s="344"/>
      <c r="B617" s="344" t="s">
        <v>2938</v>
      </c>
      <c r="C617" s="344">
        <v>509</v>
      </c>
      <c r="D617" s="344"/>
      <c r="E617" s="190" t="s">
        <v>87</v>
      </c>
      <c r="F617" s="183" t="s">
        <v>2939</v>
      </c>
      <c r="G617" s="183" t="s">
        <v>2940</v>
      </c>
      <c r="H617" s="184">
        <v>101251127607</v>
      </c>
      <c r="I617" s="185" t="s">
        <v>2941</v>
      </c>
      <c r="J617" s="146" t="s">
        <v>2942</v>
      </c>
      <c r="K617" s="247"/>
      <c r="L617" s="186">
        <v>44358</v>
      </c>
      <c r="M617" s="530">
        <v>2860000</v>
      </c>
    </row>
    <row r="618" spans="1:13" hidden="1" x14ac:dyDescent="0.25">
      <c r="A618" s="344"/>
      <c r="B618" s="344" t="s">
        <v>2943</v>
      </c>
      <c r="C618" s="344">
        <v>510</v>
      </c>
      <c r="D618" s="344"/>
      <c r="E618" s="190" t="s">
        <v>87</v>
      </c>
      <c r="F618" s="183" t="s">
        <v>1532</v>
      </c>
      <c r="G618" s="183" t="s">
        <v>2944</v>
      </c>
      <c r="H618" s="184">
        <v>101211139654</v>
      </c>
      <c r="I618" s="185" t="s">
        <v>2945</v>
      </c>
      <c r="J618" s="146" t="s">
        <v>2946</v>
      </c>
      <c r="K618" s="247"/>
      <c r="L618" s="186">
        <v>44357</v>
      </c>
      <c r="M618" s="530">
        <v>2700000</v>
      </c>
    </row>
    <row r="619" spans="1:13" hidden="1" x14ac:dyDescent="0.25">
      <c r="A619" s="344"/>
      <c r="B619" s="344" t="s">
        <v>2947</v>
      </c>
      <c r="C619" s="344">
        <v>511</v>
      </c>
      <c r="D619" s="344"/>
      <c r="E619" s="190" t="s">
        <v>224</v>
      </c>
      <c r="F619" s="183" t="s">
        <v>2948</v>
      </c>
      <c r="G619" s="183" t="s">
        <v>2949</v>
      </c>
      <c r="H619" s="184">
        <v>102072003224</v>
      </c>
      <c r="I619" s="185" t="s">
        <v>2950</v>
      </c>
      <c r="J619" s="146" t="s">
        <v>2951</v>
      </c>
      <c r="K619" s="247"/>
      <c r="L619" s="186">
        <v>44358</v>
      </c>
      <c r="M619" s="530">
        <v>1900000</v>
      </c>
    </row>
    <row r="620" spans="1:13" hidden="1" x14ac:dyDescent="0.25">
      <c r="A620" s="344"/>
      <c r="B620" s="344" t="s">
        <v>2366</v>
      </c>
      <c r="C620" s="344">
        <v>512</v>
      </c>
      <c r="D620" s="344"/>
      <c r="E620" s="190" t="s">
        <v>87</v>
      </c>
      <c r="F620" s="183" t="s">
        <v>1006</v>
      </c>
      <c r="G620" s="183" t="s">
        <v>2953</v>
      </c>
      <c r="H620" s="184">
        <v>115091016994</v>
      </c>
      <c r="I620" s="185" t="s">
        <v>2954</v>
      </c>
      <c r="J620" s="146" t="s">
        <v>2955</v>
      </c>
      <c r="K620" s="247"/>
      <c r="L620" s="186">
        <v>44359</v>
      </c>
      <c r="M620" s="530">
        <v>2300000</v>
      </c>
    </row>
    <row r="621" spans="1:13" hidden="1" x14ac:dyDescent="0.25">
      <c r="A621" s="344"/>
      <c r="B621" s="299" t="s">
        <v>2956</v>
      </c>
      <c r="C621" s="299">
        <v>513</v>
      </c>
      <c r="D621" s="299"/>
      <c r="E621" s="525" t="s">
        <v>87</v>
      </c>
      <c r="F621" s="293" t="s">
        <v>650</v>
      </c>
      <c r="G621" s="293" t="s">
        <v>2957</v>
      </c>
      <c r="H621" s="184">
        <v>106461009127</v>
      </c>
      <c r="I621" s="185" t="s">
        <v>2958</v>
      </c>
      <c r="J621" s="146" t="s">
        <v>2959</v>
      </c>
      <c r="K621" s="247"/>
      <c r="L621" s="186">
        <v>44359</v>
      </c>
      <c r="M621" s="530">
        <v>3000000</v>
      </c>
    </row>
    <row r="622" spans="1:13" hidden="1" x14ac:dyDescent="0.25">
      <c r="A622" s="344"/>
      <c r="B622" s="344" t="s">
        <v>312</v>
      </c>
      <c r="C622" s="344">
        <v>514</v>
      </c>
      <c r="D622" s="344"/>
      <c r="E622" s="190" t="s">
        <v>434</v>
      </c>
      <c r="F622" s="183" t="s">
        <v>650</v>
      </c>
      <c r="G622" s="183" t="s">
        <v>2960</v>
      </c>
      <c r="H622" s="184">
        <v>103151017125</v>
      </c>
      <c r="I622" s="185" t="s">
        <v>2961</v>
      </c>
      <c r="J622" s="146" t="s">
        <v>2962</v>
      </c>
      <c r="K622" s="247"/>
      <c r="L622" s="186">
        <v>44361</v>
      </c>
      <c r="M622" s="530">
        <v>3600000</v>
      </c>
    </row>
    <row r="623" spans="1:13" hidden="1" x14ac:dyDescent="0.25">
      <c r="A623" s="344"/>
      <c r="B623" s="344" t="s">
        <v>2927</v>
      </c>
      <c r="C623" s="344">
        <v>515</v>
      </c>
      <c r="D623" s="344"/>
      <c r="E623" s="190" t="s">
        <v>1536</v>
      </c>
      <c r="F623" s="183" t="s">
        <v>2963</v>
      </c>
      <c r="G623" s="183" t="s">
        <v>2964</v>
      </c>
      <c r="H623" s="184">
        <v>113031005054</v>
      </c>
      <c r="I623" s="185" t="s">
        <v>2965</v>
      </c>
      <c r="J623" s="146" t="s">
        <v>2966</v>
      </c>
      <c r="K623" s="247"/>
      <c r="L623" s="186">
        <v>44362</v>
      </c>
      <c r="M623" s="530">
        <v>3050000</v>
      </c>
    </row>
    <row r="624" spans="1:13" hidden="1" x14ac:dyDescent="0.25">
      <c r="A624" s="344"/>
      <c r="B624" s="344" t="s">
        <v>1303</v>
      </c>
      <c r="C624" s="344"/>
      <c r="D624" s="344" t="s">
        <v>2968</v>
      </c>
      <c r="E624" s="190" t="s">
        <v>1568</v>
      </c>
      <c r="F624" s="183" t="s">
        <v>2969</v>
      </c>
      <c r="G624" s="183" t="s">
        <v>2970</v>
      </c>
      <c r="H624" s="184">
        <v>101211157043</v>
      </c>
      <c r="I624" s="185" t="s">
        <v>2971</v>
      </c>
      <c r="J624" s="146" t="s">
        <v>2972</v>
      </c>
      <c r="K624" s="247"/>
      <c r="L624" s="186">
        <v>44349</v>
      </c>
      <c r="M624" s="530">
        <v>6000000</v>
      </c>
    </row>
    <row r="625" spans="1:15" hidden="1" x14ac:dyDescent="0.25">
      <c r="A625" s="344"/>
      <c r="B625" s="344" t="s">
        <v>2284</v>
      </c>
      <c r="C625" s="344"/>
      <c r="D625" s="344" t="s">
        <v>2973</v>
      </c>
      <c r="E625" s="190" t="s">
        <v>87</v>
      </c>
      <c r="F625" s="183" t="s">
        <v>1316</v>
      </c>
      <c r="G625" s="183" t="s">
        <v>2677</v>
      </c>
      <c r="H625" s="184">
        <v>101252176497</v>
      </c>
      <c r="I625" s="185" t="s">
        <v>1008</v>
      </c>
      <c r="J625" s="146" t="s">
        <v>2933</v>
      </c>
      <c r="K625" s="247"/>
      <c r="L625" s="186">
        <v>44359</v>
      </c>
      <c r="M625" s="530">
        <v>2700000</v>
      </c>
    </row>
    <row r="626" spans="1:15" hidden="1" x14ac:dyDescent="0.25">
      <c r="A626" s="344"/>
      <c r="B626" s="344" t="s">
        <v>2926</v>
      </c>
      <c r="C626" s="344">
        <v>517</v>
      </c>
      <c r="D626" s="344"/>
      <c r="E626" s="190" t="s">
        <v>309</v>
      </c>
      <c r="F626" s="183" t="s">
        <v>2976</v>
      </c>
      <c r="G626" s="183" t="s">
        <v>2977</v>
      </c>
      <c r="H626" s="184">
        <v>101221104277</v>
      </c>
      <c r="I626" s="185" t="s">
        <v>2978</v>
      </c>
      <c r="J626" s="146" t="s">
        <v>2979</v>
      </c>
      <c r="K626" s="247"/>
      <c r="L626" s="186">
        <v>44364</v>
      </c>
      <c r="M626" s="530">
        <v>3250000</v>
      </c>
    </row>
    <row r="627" spans="1:15" hidden="1" x14ac:dyDescent="0.25">
      <c r="A627" s="344"/>
      <c r="B627" s="344" t="s">
        <v>2027</v>
      </c>
      <c r="C627" s="344">
        <v>518</v>
      </c>
      <c r="D627" s="344"/>
      <c r="E627" s="190" t="s">
        <v>435</v>
      </c>
      <c r="F627" s="183" t="s">
        <v>2980</v>
      </c>
      <c r="G627" s="183" t="s">
        <v>2981</v>
      </c>
      <c r="H627" s="184">
        <v>101251183392</v>
      </c>
      <c r="I627" s="185" t="s">
        <v>2982</v>
      </c>
      <c r="J627" s="146" t="s">
        <v>2983</v>
      </c>
      <c r="K627" s="247"/>
      <c r="L627" s="186">
        <v>44364</v>
      </c>
      <c r="M627" s="530">
        <v>3000000</v>
      </c>
    </row>
    <row r="628" spans="1:15" hidden="1" x14ac:dyDescent="0.25">
      <c r="A628" s="344"/>
      <c r="B628" s="344" t="s">
        <v>2752</v>
      </c>
      <c r="C628" s="344">
        <v>519</v>
      </c>
      <c r="D628" s="344"/>
      <c r="E628" s="190" t="s">
        <v>436</v>
      </c>
      <c r="F628" s="183" t="s">
        <v>2984</v>
      </c>
      <c r="G628" s="183" t="s">
        <v>2985</v>
      </c>
      <c r="H628" s="184">
        <v>117011021646</v>
      </c>
      <c r="I628" s="185" t="s">
        <v>2986</v>
      </c>
      <c r="J628" s="146" t="s">
        <v>2987</v>
      </c>
      <c r="K628" s="247"/>
      <c r="L628" s="186">
        <v>44366</v>
      </c>
      <c r="M628" s="530">
        <v>3200000</v>
      </c>
    </row>
    <row r="629" spans="1:15" hidden="1" x14ac:dyDescent="0.25">
      <c r="A629" s="344"/>
      <c r="B629" s="344" t="s">
        <v>1843</v>
      </c>
      <c r="C629" s="344">
        <v>520</v>
      </c>
      <c r="D629" s="344"/>
      <c r="E629" s="190" t="s">
        <v>435</v>
      </c>
      <c r="F629" s="183" t="s">
        <v>2988</v>
      </c>
      <c r="G629" s="183" t="s">
        <v>2989</v>
      </c>
      <c r="H629" s="184">
        <v>102071011260</v>
      </c>
      <c r="I629" s="185" t="s">
        <v>2990</v>
      </c>
      <c r="J629" s="146" t="s">
        <v>2991</v>
      </c>
      <c r="K629" s="247"/>
      <c r="L629" s="186">
        <v>44368</v>
      </c>
      <c r="M629" s="530">
        <v>3600000</v>
      </c>
    </row>
    <row r="630" spans="1:15" hidden="1" x14ac:dyDescent="0.25">
      <c r="A630" s="344"/>
      <c r="B630" s="344" t="s">
        <v>2614</v>
      </c>
      <c r="C630" s="344">
        <v>521</v>
      </c>
      <c r="D630" s="344"/>
      <c r="E630" s="190" t="s">
        <v>87</v>
      </c>
      <c r="F630" s="183" t="s">
        <v>2992</v>
      </c>
      <c r="G630" s="183" t="s">
        <v>2993</v>
      </c>
      <c r="H630" s="184">
        <v>106191003043</v>
      </c>
      <c r="I630" s="185" t="s">
        <v>2994</v>
      </c>
      <c r="J630" s="146" t="s">
        <v>2995</v>
      </c>
      <c r="K630" s="247"/>
      <c r="L630" s="186">
        <v>44370</v>
      </c>
      <c r="M630" s="530">
        <v>3200000</v>
      </c>
      <c r="O630" s="580"/>
    </row>
    <row r="631" spans="1:15" hidden="1" x14ac:dyDescent="0.25">
      <c r="A631" s="344"/>
      <c r="B631" s="344" t="s">
        <v>2928</v>
      </c>
      <c r="C631" s="344">
        <v>522</v>
      </c>
      <c r="D631" s="344"/>
      <c r="E631" s="190" t="s">
        <v>309</v>
      </c>
      <c r="F631" s="183" t="s">
        <v>2996</v>
      </c>
      <c r="G631" s="183" t="s">
        <v>2997</v>
      </c>
      <c r="H631" s="184">
        <v>101211822226</v>
      </c>
      <c r="I631" s="185" t="s">
        <v>2998</v>
      </c>
      <c r="J631" s="146" t="s">
        <v>2999</v>
      </c>
      <c r="K631" s="247"/>
      <c r="L631" s="186">
        <v>44370</v>
      </c>
      <c r="M631" s="530">
        <v>3200000</v>
      </c>
    </row>
    <row r="632" spans="1:15" hidden="1" x14ac:dyDescent="0.25">
      <c r="A632" s="344"/>
      <c r="B632" s="344" t="s">
        <v>2956</v>
      </c>
      <c r="C632" s="344">
        <v>523</v>
      </c>
      <c r="D632" s="344" t="s">
        <v>3007</v>
      </c>
      <c r="E632" s="190" t="s">
        <v>87</v>
      </c>
      <c r="F632" s="183" t="s">
        <v>3000</v>
      </c>
      <c r="G632" s="183" t="s">
        <v>3001</v>
      </c>
      <c r="H632" s="184">
        <v>102031028977</v>
      </c>
      <c r="I632" s="185" t="s">
        <v>3002</v>
      </c>
      <c r="J632" s="146" t="s">
        <v>3003</v>
      </c>
      <c r="K632" s="247"/>
      <c r="L632" s="186">
        <v>44370</v>
      </c>
      <c r="M632" s="530">
        <v>2400000</v>
      </c>
    </row>
    <row r="633" spans="1:15" hidden="1" x14ac:dyDescent="0.25">
      <c r="A633" s="344"/>
      <c r="B633" s="344" t="s">
        <v>2638</v>
      </c>
      <c r="C633" s="344">
        <v>524</v>
      </c>
      <c r="D633" s="344"/>
      <c r="E633" s="190" t="s">
        <v>435</v>
      </c>
      <c r="F633" s="183" t="s">
        <v>111</v>
      </c>
      <c r="G633" s="183" t="s">
        <v>3004</v>
      </c>
      <c r="H633" s="184">
        <v>101981077607</v>
      </c>
      <c r="I633" s="185" t="s">
        <v>3005</v>
      </c>
      <c r="J633" s="146" t="s">
        <v>3006</v>
      </c>
      <c r="K633" s="247"/>
      <c r="L633" s="186">
        <v>44371</v>
      </c>
      <c r="M633" s="530">
        <v>3200000</v>
      </c>
    </row>
    <row r="634" spans="1:15" hidden="1" x14ac:dyDescent="0.25">
      <c r="A634" s="344"/>
      <c r="B634" s="344" t="s">
        <v>2826</v>
      </c>
      <c r="C634" s="344">
        <v>524</v>
      </c>
      <c r="D634" s="344" t="s">
        <v>3014</v>
      </c>
      <c r="E634" s="190" t="s">
        <v>224</v>
      </c>
      <c r="F634" s="183" t="s">
        <v>3015</v>
      </c>
      <c r="G634" s="183" t="s">
        <v>3016</v>
      </c>
      <c r="H634" s="184">
        <v>102312007277</v>
      </c>
      <c r="I634" s="185" t="s">
        <v>3017</v>
      </c>
      <c r="J634" s="146" t="s">
        <v>3018</v>
      </c>
      <c r="K634" s="247"/>
      <c r="L634" s="186">
        <v>44372</v>
      </c>
      <c r="M634" s="552">
        <v>1850000</v>
      </c>
    </row>
    <row r="635" spans="1:15" hidden="1" x14ac:dyDescent="0.25">
      <c r="A635" s="344"/>
      <c r="B635" s="344" t="s">
        <v>2366</v>
      </c>
      <c r="C635" s="344">
        <v>525</v>
      </c>
      <c r="D635" s="344"/>
      <c r="E635" s="190" t="s">
        <v>87</v>
      </c>
      <c r="F635" s="183" t="s">
        <v>3019</v>
      </c>
      <c r="G635" s="183" t="s">
        <v>395</v>
      </c>
      <c r="H635" s="184">
        <v>101211122576</v>
      </c>
      <c r="I635" s="185" t="s">
        <v>3020</v>
      </c>
      <c r="J635" s="146" t="s">
        <v>3021</v>
      </c>
      <c r="K635" s="247"/>
      <c r="L635" s="186">
        <v>44375</v>
      </c>
      <c r="M635" s="530">
        <v>2300000</v>
      </c>
    </row>
    <row r="636" spans="1:15" hidden="1" x14ac:dyDescent="0.25">
      <c r="A636" s="344"/>
      <c r="B636" s="344" t="s">
        <v>2929</v>
      </c>
      <c r="C636" s="344">
        <v>526</v>
      </c>
      <c r="D636" s="344"/>
      <c r="E636" s="190" t="s">
        <v>309</v>
      </c>
      <c r="F636" s="183" t="s">
        <v>3022</v>
      </c>
      <c r="G636" s="183" t="s">
        <v>3023</v>
      </c>
      <c r="H636" s="184">
        <v>117031011005</v>
      </c>
      <c r="I636" s="185" t="s">
        <v>3024</v>
      </c>
      <c r="J636" s="146" t="s">
        <v>3025</v>
      </c>
      <c r="K636" s="247"/>
      <c r="L636" s="186">
        <v>44378</v>
      </c>
      <c r="M636" s="530">
        <v>3700000</v>
      </c>
    </row>
    <row r="637" spans="1:15" hidden="1" x14ac:dyDescent="0.25">
      <c r="A637" s="344"/>
      <c r="B637" s="344" t="s">
        <v>3009</v>
      </c>
      <c r="C637" s="344">
        <v>527</v>
      </c>
      <c r="D637" s="344"/>
      <c r="E637" s="190" t="s">
        <v>435</v>
      </c>
      <c r="F637" s="183" t="s">
        <v>3026</v>
      </c>
      <c r="G637" s="183" t="s">
        <v>3027</v>
      </c>
      <c r="H637" s="184">
        <v>101211187765</v>
      </c>
      <c r="I637" s="185" t="s">
        <v>3028</v>
      </c>
      <c r="J637" s="146" t="s">
        <v>3029</v>
      </c>
      <c r="K637" s="247"/>
      <c r="L637" s="186">
        <v>44378</v>
      </c>
      <c r="M637" s="530">
        <v>3300000</v>
      </c>
    </row>
    <row r="638" spans="1:15" hidden="1" x14ac:dyDescent="0.25">
      <c r="A638" s="344"/>
      <c r="B638" s="344" t="s">
        <v>3011</v>
      </c>
      <c r="C638" s="344">
        <v>528</v>
      </c>
      <c r="D638" s="344"/>
      <c r="E638" s="190" t="s">
        <v>435</v>
      </c>
      <c r="F638" s="183" t="s">
        <v>3042</v>
      </c>
      <c r="G638" s="183" t="s">
        <v>3043</v>
      </c>
      <c r="H638" s="184">
        <v>101211211648</v>
      </c>
      <c r="I638" s="185" t="s">
        <v>3044</v>
      </c>
      <c r="J638" s="146" t="s">
        <v>3045</v>
      </c>
      <c r="K638" s="247"/>
      <c r="L638" s="186">
        <v>44380</v>
      </c>
      <c r="M638" s="530">
        <v>3400000</v>
      </c>
    </row>
    <row r="639" spans="1:15" hidden="1" x14ac:dyDescent="0.25">
      <c r="A639" s="344"/>
      <c r="B639" s="344" t="s">
        <v>1291</v>
      </c>
      <c r="C639" s="344">
        <v>529</v>
      </c>
      <c r="D639" s="344"/>
      <c r="E639" s="190" t="s">
        <v>435</v>
      </c>
      <c r="F639" s="183" t="s">
        <v>3046</v>
      </c>
      <c r="G639" s="183" t="s">
        <v>3047</v>
      </c>
      <c r="H639" s="184">
        <v>101241116996</v>
      </c>
      <c r="I639" s="185" t="s">
        <v>3048</v>
      </c>
      <c r="J639" s="146" t="s">
        <v>3049</v>
      </c>
      <c r="K639" s="247"/>
      <c r="L639" s="186">
        <v>44380</v>
      </c>
      <c r="M639" s="530">
        <v>4000000</v>
      </c>
    </row>
    <row r="640" spans="1:15" hidden="1" x14ac:dyDescent="0.25">
      <c r="A640" s="344"/>
      <c r="B640" s="344" t="s">
        <v>3034</v>
      </c>
      <c r="C640" s="344">
        <v>530</v>
      </c>
      <c r="D640" s="344"/>
      <c r="E640" s="190" t="s">
        <v>435</v>
      </c>
      <c r="F640" s="183" t="s">
        <v>1121</v>
      </c>
      <c r="G640" s="183" t="s">
        <v>3050</v>
      </c>
      <c r="H640" s="184">
        <v>313011032527</v>
      </c>
      <c r="I640" s="185" t="s">
        <v>3051</v>
      </c>
      <c r="J640" s="146" t="s">
        <v>3052</v>
      </c>
      <c r="K640" s="247"/>
      <c r="L640" s="186">
        <v>44383</v>
      </c>
      <c r="M640" s="530">
        <v>3300000</v>
      </c>
    </row>
    <row r="641" spans="1:13" hidden="1" x14ac:dyDescent="0.25">
      <c r="A641" s="344"/>
      <c r="B641" s="344" t="s">
        <v>3030</v>
      </c>
      <c r="C641" s="344">
        <v>531</v>
      </c>
      <c r="D641" s="344"/>
      <c r="E641" s="190" t="s">
        <v>435</v>
      </c>
      <c r="F641" s="183" t="s">
        <v>3053</v>
      </c>
      <c r="G641" s="183" t="s">
        <v>3054</v>
      </c>
      <c r="H641" s="184">
        <v>101211240137</v>
      </c>
      <c r="I641" s="185" t="s">
        <v>3055</v>
      </c>
      <c r="J641" s="146" t="s">
        <v>3056</v>
      </c>
      <c r="K641" s="247"/>
      <c r="L641" s="186">
        <v>44383</v>
      </c>
      <c r="M641" s="530">
        <v>3400000</v>
      </c>
    </row>
    <row r="642" spans="1:13" hidden="1" x14ac:dyDescent="0.25">
      <c r="A642" s="344"/>
      <c r="B642" s="344" t="s">
        <v>3010</v>
      </c>
      <c r="C642" s="344">
        <v>532</v>
      </c>
      <c r="D642" s="344"/>
      <c r="E642" s="190" t="s">
        <v>435</v>
      </c>
      <c r="F642" s="183" t="s">
        <v>3057</v>
      </c>
      <c r="G642" s="183" t="s">
        <v>3058</v>
      </c>
      <c r="H642" s="184">
        <v>101251161378</v>
      </c>
      <c r="I642" s="185" t="s">
        <v>3059</v>
      </c>
      <c r="J642" s="146" t="s">
        <v>3060</v>
      </c>
      <c r="K642" s="247"/>
      <c r="L642" s="186">
        <v>44383</v>
      </c>
      <c r="M642" s="530">
        <v>3200000</v>
      </c>
    </row>
    <row r="643" spans="1:13" hidden="1" x14ac:dyDescent="0.25">
      <c r="A643" s="344"/>
      <c r="B643" s="344" t="s">
        <v>312</v>
      </c>
      <c r="C643" s="344">
        <v>533</v>
      </c>
      <c r="D643" s="344"/>
      <c r="E643" s="190" t="s">
        <v>435</v>
      </c>
      <c r="F643" s="183" t="s">
        <v>927</v>
      </c>
      <c r="G643" s="183" t="s">
        <v>3061</v>
      </c>
      <c r="H643" s="184">
        <v>103111004800</v>
      </c>
      <c r="I643" s="185" t="s">
        <v>3062</v>
      </c>
      <c r="J643" s="146" t="s">
        <v>3063</v>
      </c>
      <c r="K643" s="247"/>
      <c r="L643" s="186">
        <v>44384</v>
      </c>
      <c r="M643" s="530">
        <v>2000000</v>
      </c>
    </row>
    <row r="644" spans="1:13" hidden="1" x14ac:dyDescent="0.25">
      <c r="A644" s="344"/>
      <c r="B644" s="344" t="s">
        <v>3037</v>
      </c>
      <c r="C644" s="344"/>
      <c r="D644" s="344" t="s">
        <v>3064</v>
      </c>
      <c r="E644" s="190" t="s">
        <v>87</v>
      </c>
      <c r="F644" s="183" t="s">
        <v>650</v>
      </c>
      <c r="G644" s="183" t="s">
        <v>3065</v>
      </c>
      <c r="H644" s="184">
        <v>101211188699</v>
      </c>
      <c r="I644" s="185" t="s">
        <v>3066</v>
      </c>
      <c r="J644" s="146" t="s">
        <v>3067</v>
      </c>
      <c r="K644" s="247"/>
      <c r="L644" s="186">
        <v>44386</v>
      </c>
      <c r="M644" s="530">
        <v>2800000</v>
      </c>
    </row>
    <row r="645" spans="1:13" hidden="1" x14ac:dyDescent="0.25">
      <c r="A645" s="344"/>
      <c r="B645" s="344" t="s">
        <v>2931</v>
      </c>
      <c r="C645" s="344">
        <v>534</v>
      </c>
      <c r="D645" s="344"/>
      <c r="E645" s="190" t="s">
        <v>87</v>
      </c>
      <c r="F645" s="183" t="s">
        <v>3068</v>
      </c>
      <c r="G645" s="183" t="s">
        <v>3069</v>
      </c>
      <c r="H645" s="184">
        <v>101251191555</v>
      </c>
      <c r="I645" s="185" t="s">
        <v>3070</v>
      </c>
      <c r="J645" s="146" t="s">
        <v>3071</v>
      </c>
      <c r="K645" s="247"/>
      <c r="L645" s="186">
        <v>44386</v>
      </c>
      <c r="M645" s="530">
        <v>3200000</v>
      </c>
    </row>
    <row r="646" spans="1:13" hidden="1" x14ac:dyDescent="0.25">
      <c r="A646" s="344"/>
      <c r="B646" s="344" t="s">
        <v>2633</v>
      </c>
      <c r="C646" s="344">
        <v>535</v>
      </c>
      <c r="D646" s="344"/>
      <c r="E646" s="190" t="s">
        <v>435</v>
      </c>
      <c r="F646" s="183" t="s">
        <v>3072</v>
      </c>
      <c r="G646" s="183" t="s">
        <v>2059</v>
      </c>
      <c r="H646" s="184">
        <v>101251116545</v>
      </c>
      <c r="I646" s="185" t="s">
        <v>3073</v>
      </c>
      <c r="J646" s="146" t="s">
        <v>1813</v>
      </c>
      <c r="K646" s="247"/>
      <c r="L646" s="186">
        <v>44387</v>
      </c>
      <c r="M646" s="530">
        <v>3900000</v>
      </c>
    </row>
    <row r="647" spans="1:13" hidden="1" x14ac:dyDescent="0.25">
      <c r="A647" s="344"/>
      <c r="B647" s="344" t="s">
        <v>3038</v>
      </c>
      <c r="C647" s="344">
        <v>536</v>
      </c>
      <c r="D647" s="344"/>
      <c r="E647" s="190" t="s">
        <v>309</v>
      </c>
      <c r="F647" s="183" t="s">
        <v>3074</v>
      </c>
      <c r="G647" s="183" t="s">
        <v>3075</v>
      </c>
      <c r="H647" s="184">
        <v>313031017804</v>
      </c>
      <c r="I647" s="185" t="s">
        <v>3076</v>
      </c>
      <c r="J647" s="146" t="s">
        <v>3077</v>
      </c>
      <c r="K647" s="247"/>
      <c r="L647" s="186">
        <v>44389</v>
      </c>
      <c r="M647" s="530">
        <v>3600000</v>
      </c>
    </row>
    <row r="648" spans="1:13" hidden="1" x14ac:dyDescent="0.25">
      <c r="A648" s="344"/>
      <c r="B648" s="344" t="s">
        <v>3035</v>
      </c>
      <c r="C648" s="344">
        <v>537</v>
      </c>
      <c r="D648" s="344"/>
      <c r="E648" s="190" t="s">
        <v>87</v>
      </c>
      <c r="F648" s="183" t="s">
        <v>3078</v>
      </c>
      <c r="G648" s="183" t="s">
        <v>3079</v>
      </c>
      <c r="H648" s="184">
        <v>106341011451</v>
      </c>
      <c r="I648" s="185" t="s">
        <v>3080</v>
      </c>
      <c r="J648" s="146" t="s">
        <v>3081</v>
      </c>
      <c r="K648" s="247"/>
      <c r="L648" s="186">
        <v>44390</v>
      </c>
      <c r="M648" s="530">
        <v>2700000</v>
      </c>
    </row>
    <row r="649" spans="1:13" hidden="1" x14ac:dyDescent="0.25">
      <c r="A649" s="344"/>
      <c r="B649" s="344" t="s">
        <v>3039</v>
      </c>
      <c r="C649" s="344">
        <v>538</v>
      </c>
      <c r="D649" s="344"/>
      <c r="E649" s="190" t="s">
        <v>87</v>
      </c>
      <c r="F649" s="183" t="s">
        <v>3082</v>
      </c>
      <c r="G649" s="183" t="s">
        <v>3083</v>
      </c>
      <c r="H649" s="184">
        <v>101251133815</v>
      </c>
      <c r="I649" s="185" t="s">
        <v>3084</v>
      </c>
      <c r="J649" s="146" t="s">
        <v>3085</v>
      </c>
      <c r="K649" s="247"/>
      <c r="L649" s="186">
        <v>44390</v>
      </c>
      <c r="M649" s="530">
        <v>2870000</v>
      </c>
    </row>
    <row r="650" spans="1:13" hidden="1" x14ac:dyDescent="0.25">
      <c r="A650" s="344"/>
      <c r="B650" s="344" t="s">
        <v>3012</v>
      </c>
      <c r="C650" s="344">
        <v>539</v>
      </c>
      <c r="D650" s="344"/>
      <c r="E650" s="190" t="s">
        <v>87</v>
      </c>
      <c r="F650" s="183" t="s">
        <v>2155</v>
      </c>
      <c r="G650" s="183" t="s">
        <v>3107</v>
      </c>
      <c r="H650" s="184">
        <v>501051007328</v>
      </c>
      <c r="I650" s="185" t="s">
        <v>3108</v>
      </c>
      <c r="J650" s="146" t="s">
        <v>3109</v>
      </c>
      <c r="K650" s="247"/>
      <c r="L650" s="186">
        <v>44393</v>
      </c>
      <c r="M650" s="530">
        <v>2600000</v>
      </c>
    </row>
    <row r="651" spans="1:13" hidden="1" x14ac:dyDescent="0.25">
      <c r="A651" s="344"/>
      <c r="B651" s="344" t="s">
        <v>3110</v>
      </c>
      <c r="C651" s="344">
        <v>540</v>
      </c>
      <c r="D651" s="344"/>
      <c r="E651" s="190" t="s">
        <v>3111</v>
      </c>
      <c r="F651" s="183" t="s">
        <v>1405</v>
      </c>
      <c r="G651" s="183" t="s">
        <v>3112</v>
      </c>
      <c r="H651" s="184">
        <v>117031018602</v>
      </c>
      <c r="I651" s="185" t="s">
        <v>3113</v>
      </c>
      <c r="J651" s="146" t="s">
        <v>3114</v>
      </c>
      <c r="K651" s="247"/>
      <c r="L651" s="186">
        <v>44394</v>
      </c>
      <c r="M651" s="530">
        <v>1200000</v>
      </c>
    </row>
    <row r="652" spans="1:13" hidden="1" x14ac:dyDescent="0.25">
      <c r="A652" s="344"/>
      <c r="B652" s="344" t="s">
        <v>3115</v>
      </c>
      <c r="C652" s="344">
        <v>541</v>
      </c>
      <c r="D652" s="344"/>
      <c r="E652" s="190" t="s">
        <v>224</v>
      </c>
      <c r="F652" s="183" t="s">
        <v>907</v>
      </c>
      <c r="G652" s="183" t="s">
        <v>3116</v>
      </c>
      <c r="H652" s="184">
        <v>101211233636</v>
      </c>
      <c r="I652" s="185" t="s">
        <v>3117</v>
      </c>
      <c r="J652" s="146" t="s">
        <v>3118</v>
      </c>
      <c r="K652" s="247"/>
      <c r="L652" s="186">
        <v>44396</v>
      </c>
      <c r="M652" s="530">
        <v>1800000</v>
      </c>
    </row>
    <row r="653" spans="1:13" hidden="1" x14ac:dyDescent="0.25">
      <c r="A653" s="344"/>
      <c r="B653" s="344" t="s">
        <v>3119</v>
      </c>
      <c r="C653" s="344">
        <v>542</v>
      </c>
      <c r="D653" s="344"/>
      <c r="E653" s="190" t="s">
        <v>732</v>
      </c>
      <c r="F653" s="183" t="s">
        <v>3120</v>
      </c>
      <c r="G653" s="183" t="s">
        <v>3121</v>
      </c>
      <c r="H653" s="184">
        <v>101251112476</v>
      </c>
      <c r="I653" s="185" t="s">
        <v>3122</v>
      </c>
      <c r="J653" s="146" t="s">
        <v>3123</v>
      </c>
      <c r="K653" s="247"/>
      <c r="L653" s="186">
        <v>44400</v>
      </c>
      <c r="M653" s="530">
        <v>2200000</v>
      </c>
    </row>
    <row r="654" spans="1:13" hidden="1" x14ac:dyDescent="0.25">
      <c r="A654" s="344"/>
      <c r="B654" s="344" t="s">
        <v>3090</v>
      </c>
      <c r="C654" s="344">
        <v>543</v>
      </c>
      <c r="D654" s="344"/>
      <c r="E654" s="190" t="s">
        <v>309</v>
      </c>
      <c r="F654" s="183" t="s">
        <v>3124</v>
      </c>
      <c r="G654" s="183" t="s">
        <v>3125</v>
      </c>
      <c r="H654" s="184">
        <v>101241087399</v>
      </c>
      <c r="I654" s="185" t="s">
        <v>3126</v>
      </c>
      <c r="J654" s="146" t="s">
        <v>3127</v>
      </c>
      <c r="K654" s="247"/>
      <c r="L654" s="186">
        <v>44400</v>
      </c>
      <c r="M654" s="530">
        <v>3100000</v>
      </c>
    </row>
    <row r="655" spans="1:13" hidden="1" x14ac:dyDescent="0.25">
      <c r="A655" s="344"/>
      <c r="B655" s="344" t="s">
        <v>3031</v>
      </c>
      <c r="C655" s="344">
        <v>544</v>
      </c>
      <c r="D655" s="344"/>
      <c r="E655" s="190" t="s">
        <v>87</v>
      </c>
      <c r="F655" s="183" t="s">
        <v>3128</v>
      </c>
      <c r="G655" s="183" t="s">
        <v>3129</v>
      </c>
      <c r="H655" s="184">
        <v>101211256619</v>
      </c>
      <c r="I655" s="185" t="s">
        <v>3130</v>
      </c>
      <c r="J655" s="146" t="s">
        <v>3131</v>
      </c>
      <c r="K655" s="247"/>
      <c r="L655" s="186">
        <v>44401</v>
      </c>
      <c r="M655" s="530">
        <v>2700000</v>
      </c>
    </row>
    <row r="656" spans="1:13" hidden="1" x14ac:dyDescent="0.25">
      <c r="A656" s="344"/>
      <c r="B656" s="344" t="s">
        <v>3091</v>
      </c>
      <c r="C656" s="344">
        <v>545</v>
      </c>
      <c r="D656" s="344"/>
      <c r="E656" s="190" t="s">
        <v>224</v>
      </c>
      <c r="F656" s="183" t="s">
        <v>3132</v>
      </c>
      <c r="G656" s="183" t="s">
        <v>3133</v>
      </c>
      <c r="H656" s="184">
        <v>117122007250</v>
      </c>
      <c r="I656" s="185" t="s">
        <v>3134</v>
      </c>
      <c r="J656" s="146" t="s">
        <v>3135</v>
      </c>
      <c r="K656" s="247"/>
      <c r="L656" s="186">
        <v>44401</v>
      </c>
      <c r="M656" s="530">
        <v>2000000</v>
      </c>
    </row>
    <row r="657" spans="1:13" hidden="1" x14ac:dyDescent="0.25">
      <c r="A657" s="344"/>
      <c r="B657" s="344" t="s">
        <v>3089</v>
      </c>
      <c r="C657" s="173">
        <v>546</v>
      </c>
      <c r="D657" s="344"/>
      <c r="E657" s="190" t="s">
        <v>87</v>
      </c>
      <c r="F657" s="183" t="s">
        <v>3137</v>
      </c>
      <c r="G657" s="183" t="s">
        <v>3138</v>
      </c>
      <c r="H657" s="184">
        <v>117051018731</v>
      </c>
      <c r="I657" s="185" t="s">
        <v>3139</v>
      </c>
      <c r="J657" s="146" t="s">
        <v>3140</v>
      </c>
      <c r="K657" s="247"/>
      <c r="L657" s="186">
        <v>44404</v>
      </c>
      <c r="M657" s="530">
        <v>2470000</v>
      </c>
    </row>
    <row r="658" spans="1:13" hidden="1" x14ac:dyDescent="0.25">
      <c r="A658" s="344"/>
      <c r="B658" s="344" t="s">
        <v>3036</v>
      </c>
      <c r="C658" s="344">
        <v>547</v>
      </c>
      <c r="D658" s="344"/>
      <c r="E658" s="190" t="s">
        <v>309</v>
      </c>
      <c r="F658" s="183" t="s">
        <v>3141</v>
      </c>
      <c r="G658" s="183" t="s">
        <v>3142</v>
      </c>
      <c r="H658" s="184">
        <v>101222064906</v>
      </c>
      <c r="I658" s="185" t="s">
        <v>3143</v>
      </c>
      <c r="J658" s="146" t="s">
        <v>3144</v>
      </c>
      <c r="K658" s="247"/>
      <c r="L658" s="186">
        <v>44404</v>
      </c>
      <c r="M658" s="530">
        <v>3100000</v>
      </c>
    </row>
    <row r="659" spans="1:13" hidden="1" x14ac:dyDescent="0.25">
      <c r="A659" s="344"/>
      <c r="B659" s="344" t="s">
        <v>3136</v>
      </c>
      <c r="C659" s="344">
        <v>548</v>
      </c>
      <c r="D659" s="344"/>
      <c r="E659" s="190" t="s">
        <v>436</v>
      </c>
      <c r="F659" s="183" t="s">
        <v>3145</v>
      </c>
      <c r="G659" s="183" t="s">
        <v>3146</v>
      </c>
      <c r="H659" s="184">
        <v>117192012788</v>
      </c>
      <c r="I659" s="185" t="s">
        <v>3147</v>
      </c>
      <c r="J659" s="146" t="s">
        <v>3148</v>
      </c>
      <c r="K659" s="247"/>
      <c r="L659" s="186">
        <v>44405</v>
      </c>
      <c r="M659" s="530">
        <v>3400000</v>
      </c>
    </row>
    <row r="660" spans="1:13" hidden="1" x14ac:dyDescent="0.25">
      <c r="A660" s="344"/>
      <c r="B660" s="344" t="s">
        <v>3088</v>
      </c>
      <c r="C660" s="344">
        <v>549</v>
      </c>
      <c r="D660" s="344"/>
      <c r="E660" s="190" t="s">
        <v>87</v>
      </c>
      <c r="F660" s="183" t="s">
        <v>3149</v>
      </c>
      <c r="G660" s="183" t="s">
        <v>3150</v>
      </c>
      <c r="H660" s="184">
        <v>101221110262</v>
      </c>
      <c r="I660" s="185" t="s">
        <v>3151</v>
      </c>
      <c r="J660" s="146" t="s">
        <v>3152</v>
      </c>
      <c r="K660" s="247"/>
      <c r="L660" s="186">
        <v>44407</v>
      </c>
      <c r="M660" s="530">
        <v>2800000</v>
      </c>
    </row>
    <row r="661" spans="1:13" hidden="1" x14ac:dyDescent="0.25">
      <c r="A661" s="344"/>
      <c r="B661" s="344" t="s">
        <v>3097</v>
      </c>
      <c r="C661" s="344">
        <v>550</v>
      </c>
      <c r="D661" s="344"/>
      <c r="E661" s="190" t="s">
        <v>435</v>
      </c>
      <c r="F661" s="183" t="s">
        <v>101</v>
      </c>
      <c r="G661" s="183" t="s">
        <v>3153</v>
      </c>
      <c r="H661" s="184">
        <v>117051011764</v>
      </c>
      <c r="I661" s="185" t="s">
        <v>3154</v>
      </c>
      <c r="J661" s="146" t="s">
        <v>3155</v>
      </c>
      <c r="K661" s="247"/>
      <c r="L661" s="186">
        <v>44380</v>
      </c>
      <c r="M661" s="530">
        <v>3400000</v>
      </c>
    </row>
    <row r="662" spans="1:13" hidden="1" x14ac:dyDescent="0.25">
      <c r="A662" s="344"/>
      <c r="B662" s="344" t="s">
        <v>3178</v>
      </c>
      <c r="C662" s="344">
        <v>551</v>
      </c>
      <c r="D662" s="344"/>
      <c r="E662" s="190" t="s">
        <v>435</v>
      </c>
      <c r="F662" s="183" t="s">
        <v>1346</v>
      </c>
      <c r="G662" s="183" t="s">
        <v>1347</v>
      </c>
      <c r="H662" s="184">
        <v>101251124230</v>
      </c>
      <c r="I662" s="185" t="s">
        <v>3179</v>
      </c>
      <c r="J662" s="146" t="s">
        <v>1349</v>
      </c>
      <c r="K662" s="247"/>
      <c r="L662" s="186">
        <v>44411</v>
      </c>
      <c r="M662" s="530">
        <v>8000000</v>
      </c>
    </row>
    <row r="663" spans="1:13" hidden="1" x14ac:dyDescent="0.25">
      <c r="A663" s="344"/>
      <c r="B663" s="344" t="s">
        <v>3156</v>
      </c>
      <c r="C663" s="344">
        <v>552</v>
      </c>
      <c r="D663" s="344"/>
      <c r="E663" s="190" t="s">
        <v>787</v>
      </c>
      <c r="F663" s="183" t="s">
        <v>3157</v>
      </c>
      <c r="G663" s="183" t="s">
        <v>3158</v>
      </c>
      <c r="H663" s="184">
        <v>101241086295</v>
      </c>
      <c r="I663" s="185" t="s">
        <v>3159</v>
      </c>
      <c r="J663" s="146" t="s">
        <v>3160</v>
      </c>
      <c r="K663" s="247"/>
      <c r="L663" s="186">
        <v>44411</v>
      </c>
      <c r="M663" s="530">
        <v>4400000</v>
      </c>
    </row>
    <row r="664" spans="1:13" hidden="1" x14ac:dyDescent="0.25">
      <c r="A664" s="344"/>
      <c r="B664" s="344" t="s">
        <v>3102</v>
      </c>
      <c r="C664" s="344">
        <v>553</v>
      </c>
      <c r="D664" s="344"/>
      <c r="E664" s="190" t="s">
        <v>435</v>
      </c>
      <c r="F664" s="183" t="s">
        <v>3161</v>
      </c>
      <c r="G664" s="183" t="s">
        <v>3162</v>
      </c>
      <c r="H664" s="184">
        <v>101241144056</v>
      </c>
      <c r="I664" s="185" t="s">
        <v>3163</v>
      </c>
      <c r="J664" s="146" t="s">
        <v>3164</v>
      </c>
      <c r="K664" s="247"/>
      <c r="L664" s="186">
        <v>44411</v>
      </c>
      <c r="M664" s="530">
        <v>3600000</v>
      </c>
    </row>
    <row r="665" spans="1:13" hidden="1" x14ac:dyDescent="0.25">
      <c r="A665" s="344"/>
      <c r="B665" s="344" t="s">
        <v>3098</v>
      </c>
      <c r="C665" s="344">
        <v>554</v>
      </c>
      <c r="D665" s="344"/>
      <c r="E665" s="190" t="s">
        <v>309</v>
      </c>
      <c r="F665" s="183" t="s">
        <v>3165</v>
      </c>
      <c r="G665" s="183" t="s">
        <v>3166</v>
      </c>
      <c r="H665" s="184">
        <v>114111016476</v>
      </c>
      <c r="I665" s="185" t="s">
        <v>3167</v>
      </c>
      <c r="J665" s="146" t="s">
        <v>3168</v>
      </c>
      <c r="K665" s="247"/>
      <c r="L665" s="186">
        <v>44412</v>
      </c>
      <c r="M665" s="530">
        <v>3500000</v>
      </c>
    </row>
    <row r="666" spans="1:13" hidden="1" x14ac:dyDescent="0.25">
      <c r="A666" s="344"/>
      <c r="B666" s="344" t="s">
        <v>3013</v>
      </c>
      <c r="C666" s="344">
        <v>555</v>
      </c>
      <c r="D666" s="344"/>
      <c r="E666" s="190" t="s">
        <v>87</v>
      </c>
      <c r="F666" s="183" t="s">
        <v>3180</v>
      </c>
      <c r="G666" s="183" t="s">
        <v>3181</v>
      </c>
      <c r="H666" s="184">
        <v>101222102073</v>
      </c>
      <c r="I666" s="185" t="s">
        <v>3182</v>
      </c>
      <c r="J666" s="146" t="s">
        <v>3183</v>
      </c>
      <c r="K666" s="247"/>
      <c r="L666" s="186">
        <v>44414</v>
      </c>
      <c r="M666" s="530">
        <v>2500000</v>
      </c>
    </row>
    <row r="667" spans="1:13" hidden="1" x14ac:dyDescent="0.25">
      <c r="A667" s="344"/>
      <c r="B667" s="344" t="s">
        <v>3103</v>
      </c>
      <c r="C667" s="344">
        <v>556</v>
      </c>
      <c r="D667" s="344"/>
      <c r="E667" s="190" t="s">
        <v>435</v>
      </c>
      <c r="F667" s="183" t="s">
        <v>3184</v>
      </c>
      <c r="G667" s="579" t="s">
        <v>3289</v>
      </c>
      <c r="H667" s="184">
        <v>201031045232</v>
      </c>
      <c r="I667" s="185" t="s">
        <v>3185</v>
      </c>
      <c r="J667" s="146" t="s">
        <v>3186</v>
      </c>
      <c r="K667" s="247"/>
      <c r="L667" s="186">
        <v>44415</v>
      </c>
      <c r="M667" s="530">
        <v>3600000</v>
      </c>
    </row>
    <row r="668" spans="1:13" hidden="1" x14ac:dyDescent="0.25">
      <c r="A668" s="344"/>
      <c r="B668" s="344" t="s">
        <v>3104</v>
      </c>
      <c r="C668" s="344">
        <v>557</v>
      </c>
      <c r="D668" s="344"/>
      <c r="E668" s="190" t="s">
        <v>435</v>
      </c>
      <c r="F668" s="183" t="s">
        <v>3187</v>
      </c>
      <c r="G668" s="183" t="s">
        <v>3188</v>
      </c>
      <c r="H668" s="184">
        <v>203011028390</v>
      </c>
      <c r="I668" s="185" t="s">
        <v>3189</v>
      </c>
      <c r="J668" s="146" t="s">
        <v>3190</v>
      </c>
      <c r="K668" s="247"/>
      <c r="L668" s="186">
        <v>44415</v>
      </c>
      <c r="M668" s="530">
        <v>3400000</v>
      </c>
    </row>
    <row r="669" spans="1:13" hidden="1" x14ac:dyDescent="0.25">
      <c r="A669" s="344"/>
      <c r="B669" s="344" t="s">
        <v>3099</v>
      </c>
      <c r="C669" s="344">
        <v>558</v>
      </c>
      <c r="D669" s="344"/>
      <c r="E669" s="190" t="s">
        <v>87</v>
      </c>
      <c r="F669" s="183" t="s">
        <v>3191</v>
      </c>
      <c r="G669" s="183" t="s">
        <v>3192</v>
      </c>
      <c r="H669" s="184">
        <v>101211133337</v>
      </c>
      <c r="I669" s="185" t="s">
        <v>3193</v>
      </c>
      <c r="J669" s="146" t="s">
        <v>3194</v>
      </c>
      <c r="K669" s="247"/>
      <c r="L669" s="186">
        <v>44417</v>
      </c>
      <c r="M669" s="530">
        <v>3200000</v>
      </c>
    </row>
    <row r="670" spans="1:13" hidden="1" x14ac:dyDescent="0.25">
      <c r="A670" s="344"/>
      <c r="B670" s="344" t="s">
        <v>1294</v>
      </c>
      <c r="C670" s="344">
        <v>559</v>
      </c>
      <c r="D670" s="344"/>
      <c r="E670" s="190" t="s">
        <v>309</v>
      </c>
      <c r="F670" s="183" t="s">
        <v>589</v>
      </c>
      <c r="G670" s="183" t="s">
        <v>1874</v>
      </c>
      <c r="H670" s="184">
        <v>117071019919</v>
      </c>
      <c r="I670" s="185" t="s">
        <v>3195</v>
      </c>
      <c r="J670" s="146" t="s">
        <v>1555</v>
      </c>
      <c r="K670" s="247"/>
      <c r="L670" s="186">
        <v>44417</v>
      </c>
      <c r="M670" s="530">
        <v>4600000</v>
      </c>
    </row>
    <row r="671" spans="1:13" hidden="1" x14ac:dyDescent="0.25">
      <c r="A671" s="344"/>
      <c r="B671" s="344" t="s">
        <v>2754</v>
      </c>
      <c r="C671" s="344">
        <v>560</v>
      </c>
      <c r="D671" s="344"/>
      <c r="E671" s="190" t="s">
        <v>436</v>
      </c>
      <c r="F671" s="183" t="s">
        <v>3196</v>
      </c>
      <c r="G671" s="183" t="s">
        <v>3197</v>
      </c>
      <c r="H671" s="184">
        <v>101221101960</v>
      </c>
      <c r="I671" s="185" t="s">
        <v>3198</v>
      </c>
      <c r="J671" s="146" t="s">
        <v>3199</v>
      </c>
      <c r="K671" s="247"/>
      <c r="L671" s="186">
        <v>44418</v>
      </c>
      <c r="M671" s="530">
        <v>2850000</v>
      </c>
    </row>
    <row r="672" spans="1:13" hidden="1" x14ac:dyDescent="0.25">
      <c r="A672" s="344"/>
      <c r="B672" s="344" t="s">
        <v>2820</v>
      </c>
      <c r="C672" s="344">
        <v>561</v>
      </c>
      <c r="D672" s="344"/>
      <c r="E672" s="190" t="s">
        <v>435</v>
      </c>
      <c r="F672" s="183" t="s">
        <v>3200</v>
      </c>
      <c r="G672" s="183" t="s">
        <v>3201</v>
      </c>
      <c r="H672" s="184">
        <v>101211219101</v>
      </c>
      <c r="I672" s="185" t="s">
        <v>3202</v>
      </c>
      <c r="J672" s="146" t="s">
        <v>3203</v>
      </c>
      <c r="K672" s="247"/>
      <c r="L672" s="186">
        <v>44421</v>
      </c>
      <c r="M672" s="530">
        <v>3700000</v>
      </c>
    </row>
    <row r="673" spans="1:13" hidden="1" x14ac:dyDescent="0.25">
      <c r="A673" s="344"/>
      <c r="B673" s="344" t="s">
        <v>3204</v>
      </c>
      <c r="C673" s="344">
        <v>562</v>
      </c>
      <c r="D673" s="344"/>
      <c r="E673" s="190" t="s">
        <v>87</v>
      </c>
      <c r="F673" s="183" t="s">
        <v>3205</v>
      </c>
      <c r="G673" s="183" t="s">
        <v>3206</v>
      </c>
      <c r="H673" s="184">
        <v>101251193457</v>
      </c>
      <c r="I673" s="185" t="s">
        <v>3207</v>
      </c>
      <c r="J673" s="146" t="s">
        <v>3208</v>
      </c>
      <c r="K673" s="247"/>
      <c r="L673" s="186">
        <v>44421</v>
      </c>
      <c r="M673" s="530">
        <v>2800000</v>
      </c>
    </row>
    <row r="674" spans="1:13" hidden="1" x14ac:dyDescent="0.25">
      <c r="A674" s="344"/>
      <c r="B674" s="344" t="s">
        <v>2284</v>
      </c>
      <c r="C674" s="344">
        <v>563</v>
      </c>
      <c r="D674" s="344"/>
      <c r="E674" s="190" t="s">
        <v>87</v>
      </c>
      <c r="F674" s="183" t="s">
        <v>3209</v>
      </c>
      <c r="G674" s="183" t="s">
        <v>3210</v>
      </c>
      <c r="H674" s="184">
        <v>101231160497</v>
      </c>
      <c r="I674" s="185" t="s">
        <v>3211</v>
      </c>
      <c r="J674" s="146" t="s">
        <v>3212</v>
      </c>
      <c r="K674" s="247"/>
      <c r="L674" s="186">
        <v>44424</v>
      </c>
      <c r="M674" s="530">
        <v>2400000</v>
      </c>
    </row>
    <row r="675" spans="1:13" x14ac:dyDescent="0.25">
      <c r="A675" s="344"/>
      <c r="B675" s="344" t="s">
        <v>3213</v>
      </c>
      <c r="C675" s="344">
        <v>564</v>
      </c>
      <c r="D675" s="344"/>
      <c r="E675" s="190" t="s">
        <v>3214</v>
      </c>
      <c r="F675" s="183" t="s">
        <v>1060</v>
      </c>
      <c r="G675" s="183" t="s">
        <v>3215</v>
      </c>
      <c r="H675" s="184">
        <v>102091018171</v>
      </c>
      <c r="I675" s="185" t="s">
        <v>3216</v>
      </c>
      <c r="J675" s="146" t="s">
        <v>3217</v>
      </c>
      <c r="K675" s="247"/>
      <c r="L675" s="186">
        <v>44425</v>
      </c>
      <c r="M675" s="530">
        <v>1400000</v>
      </c>
    </row>
    <row r="676" spans="1:13" hidden="1" x14ac:dyDescent="0.25">
      <c r="A676" s="344"/>
      <c r="B676" s="344" t="s">
        <v>3218</v>
      </c>
      <c r="C676" s="344">
        <v>565</v>
      </c>
      <c r="D676" s="344"/>
      <c r="E676" s="190" t="s">
        <v>3219</v>
      </c>
      <c r="F676" s="183" t="s">
        <v>78</v>
      </c>
      <c r="G676" s="183" t="s">
        <v>3220</v>
      </c>
      <c r="H676" s="184">
        <v>208011002343</v>
      </c>
      <c r="I676" s="185" t="s">
        <v>3221</v>
      </c>
      <c r="J676" s="146" t="s">
        <v>3222</v>
      </c>
      <c r="K676" s="247"/>
      <c r="L676" s="186">
        <v>44429</v>
      </c>
      <c r="M676" s="530">
        <v>3600000</v>
      </c>
    </row>
    <row r="677" spans="1:13" hidden="1" x14ac:dyDescent="0.25">
      <c r="A677" s="344"/>
      <c r="B677" s="344" t="s">
        <v>3174</v>
      </c>
      <c r="C677" s="344">
        <v>566</v>
      </c>
      <c r="D677" s="344"/>
      <c r="E677" s="190" t="s">
        <v>435</v>
      </c>
      <c r="F677" s="183" t="s">
        <v>3226</v>
      </c>
      <c r="G677" s="183" t="s">
        <v>3227</v>
      </c>
      <c r="H677" s="184" t="s">
        <v>3228</v>
      </c>
      <c r="I677" s="185" t="s">
        <v>3229</v>
      </c>
      <c r="J677" s="146" t="s">
        <v>3230</v>
      </c>
      <c r="K677" s="247"/>
      <c r="L677" s="186">
        <v>44434</v>
      </c>
      <c r="M677" s="530">
        <v>3720000</v>
      </c>
    </row>
    <row r="678" spans="1:13" hidden="1" x14ac:dyDescent="0.25">
      <c r="A678" s="344"/>
      <c r="B678" s="344" t="s">
        <v>3245</v>
      </c>
      <c r="C678" s="344">
        <v>567</v>
      </c>
      <c r="D678" s="344"/>
      <c r="E678" s="190" t="s">
        <v>435</v>
      </c>
      <c r="F678" s="183" t="s">
        <v>3246</v>
      </c>
      <c r="G678" s="183" t="s">
        <v>3247</v>
      </c>
      <c r="H678" s="184">
        <v>112991008798</v>
      </c>
      <c r="I678" s="185" t="s">
        <v>3248</v>
      </c>
      <c r="J678" s="146" t="s">
        <v>3249</v>
      </c>
      <c r="K678" s="247"/>
      <c r="L678" s="186">
        <v>44440</v>
      </c>
      <c r="M678" s="530">
        <v>2600000</v>
      </c>
    </row>
    <row r="679" spans="1:13" hidden="1" x14ac:dyDescent="0.25">
      <c r="A679" s="344"/>
      <c r="B679" s="344" t="s">
        <v>3101</v>
      </c>
      <c r="C679" s="344">
        <v>568</v>
      </c>
      <c r="D679" s="344"/>
      <c r="E679" s="190" t="s">
        <v>434</v>
      </c>
      <c r="F679" s="183" t="s">
        <v>3250</v>
      </c>
      <c r="G679" s="183" t="s">
        <v>3251</v>
      </c>
      <c r="H679" s="184">
        <v>101981094077</v>
      </c>
      <c r="I679" s="185" t="s">
        <v>3252</v>
      </c>
      <c r="J679" s="146" t="s">
        <v>3253</v>
      </c>
      <c r="K679" s="247"/>
      <c r="L679" s="186">
        <v>44441</v>
      </c>
      <c r="M679" s="530">
        <v>3300000</v>
      </c>
    </row>
    <row r="680" spans="1:13" hidden="1" x14ac:dyDescent="0.25">
      <c r="A680" s="344"/>
      <c r="B680" s="344" t="s">
        <v>3175</v>
      </c>
      <c r="C680" s="344">
        <v>569</v>
      </c>
      <c r="D680" s="344"/>
      <c r="E680" s="190" t="s">
        <v>434</v>
      </c>
      <c r="F680" s="183" t="s">
        <v>3254</v>
      </c>
      <c r="G680" s="183" t="s">
        <v>3255</v>
      </c>
      <c r="H680" s="184">
        <v>117031023616</v>
      </c>
      <c r="I680" s="185" t="s">
        <v>3256</v>
      </c>
      <c r="J680" s="146" t="s">
        <v>3257</v>
      </c>
      <c r="K680" s="247"/>
      <c r="L680" s="186">
        <v>44440</v>
      </c>
      <c r="M680" s="530">
        <v>3400000</v>
      </c>
    </row>
    <row r="681" spans="1:13" x14ac:dyDescent="0.25">
      <c r="A681" s="299"/>
      <c r="B681" s="299" t="s">
        <v>3496</v>
      </c>
      <c r="C681" s="299">
        <v>570</v>
      </c>
      <c r="D681" s="299" t="s">
        <v>3495</v>
      </c>
      <c r="E681" s="525" t="s">
        <v>777</v>
      </c>
      <c r="F681" s="293" t="s">
        <v>3258</v>
      </c>
      <c r="G681" s="293" t="s">
        <v>3259</v>
      </c>
      <c r="H681" s="294">
        <v>117151015562</v>
      </c>
      <c r="I681" s="295" t="s">
        <v>3260</v>
      </c>
      <c r="J681" s="296" t="s">
        <v>3261</v>
      </c>
      <c r="K681" s="297"/>
      <c r="L681" s="298">
        <v>44441</v>
      </c>
      <c r="M681" s="300">
        <v>600000</v>
      </c>
    </row>
    <row r="682" spans="1:13" hidden="1" x14ac:dyDescent="0.25">
      <c r="A682" s="344"/>
      <c r="B682" s="344" t="s">
        <v>3176</v>
      </c>
      <c r="C682" s="344">
        <v>571</v>
      </c>
      <c r="D682" s="344" t="s">
        <v>956</v>
      </c>
      <c r="E682" s="190" t="s">
        <v>434</v>
      </c>
      <c r="F682" s="183" t="s">
        <v>3262</v>
      </c>
      <c r="G682" s="183" t="s">
        <v>3263</v>
      </c>
      <c r="H682" s="184">
        <v>102071014656</v>
      </c>
      <c r="I682" s="185" t="s">
        <v>3264</v>
      </c>
      <c r="J682" s="146" t="s">
        <v>3265</v>
      </c>
      <c r="K682" s="247"/>
      <c r="L682" s="186">
        <v>44445</v>
      </c>
      <c r="M682" s="530">
        <v>3270000</v>
      </c>
    </row>
    <row r="683" spans="1:13" hidden="1" x14ac:dyDescent="0.25">
      <c r="A683" s="344"/>
      <c r="B683" s="344" t="s">
        <v>2632</v>
      </c>
      <c r="C683" s="344">
        <v>572</v>
      </c>
      <c r="D683" s="344"/>
      <c r="E683" s="190" t="s">
        <v>434</v>
      </c>
      <c r="F683" s="183" t="s">
        <v>3266</v>
      </c>
      <c r="G683" s="183" t="s">
        <v>3267</v>
      </c>
      <c r="H683" s="184">
        <v>108111028377</v>
      </c>
      <c r="I683" s="185" t="s">
        <v>3268</v>
      </c>
      <c r="J683" s="146" t="s">
        <v>3269</v>
      </c>
      <c r="K683" s="247"/>
      <c r="L683" s="186">
        <v>44446</v>
      </c>
      <c r="M683" s="530">
        <v>3600000</v>
      </c>
    </row>
    <row r="684" spans="1:13" hidden="1" x14ac:dyDescent="0.25">
      <c r="A684" s="344"/>
      <c r="B684" s="344" t="s">
        <v>3234</v>
      </c>
      <c r="C684" s="344">
        <v>573</v>
      </c>
      <c r="D684" s="344"/>
      <c r="E684" s="190" t="s">
        <v>434</v>
      </c>
      <c r="F684" s="183" t="s">
        <v>3270</v>
      </c>
      <c r="G684" s="183" t="s">
        <v>3271</v>
      </c>
      <c r="H684" s="184">
        <v>401031016753</v>
      </c>
      <c r="I684" s="185" t="s">
        <v>3272</v>
      </c>
      <c r="J684" s="146" t="s">
        <v>3273</v>
      </c>
      <c r="K684" s="247"/>
      <c r="L684" s="186">
        <v>44449</v>
      </c>
      <c r="M684" s="530">
        <v>3600000</v>
      </c>
    </row>
    <row r="685" spans="1:13" hidden="1" x14ac:dyDescent="0.25">
      <c r="A685" s="344"/>
      <c r="B685" s="344" t="s">
        <v>3274</v>
      </c>
      <c r="C685" s="344">
        <v>574</v>
      </c>
      <c r="D685" s="344"/>
      <c r="E685" s="190" t="s">
        <v>3275</v>
      </c>
      <c r="F685" s="183" t="s">
        <v>2694</v>
      </c>
      <c r="G685" s="183" t="s">
        <v>3276</v>
      </c>
      <c r="H685" s="184">
        <v>101251174547</v>
      </c>
      <c r="I685" s="185" t="s">
        <v>3277</v>
      </c>
      <c r="J685" s="146" t="s">
        <v>3278</v>
      </c>
      <c r="K685" s="247"/>
      <c r="L685" s="186">
        <v>44450</v>
      </c>
      <c r="M685" s="530">
        <v>3300000</v>
      </c>
    </row>
    <row r="686" spans="1:13" hidden="1" x14ac:dyDescent="0.25">
      <c r="A686" s="344"/>
      <c r="B686" s="344" t="s">
        <v>3238</v>
      </c>
      <c r="C686" s="344">
        <v>575</v>
      </c>
      <c r="D686" s="344"/>
      <c r="E686" s="190" t="s">
        <v>224</v>
      </c>
      <c r="F686" s="183" t="s">
        <v>3279</v>
      </c>
      <c r="G686" s="183" t="s">
        <v>3280</v>
      </c>
      <c r="H686" s="184">
        <v>515011043438</v>
      </c>
      <c r="I686" s="185" t="s">
        <v>3281</v>
      </c>
      <c r="J686" s="146" t="s">
        <v>3282</v>
      </c>
      <c r="K686" s="247"/>
      <c r="L686" s="186">
        <v>44450</v>
      </c>
      <c r="M686" s="530">
        <v>2400000</v>
      </c>
    </row>
    <row r="687" spans="1:13" hidden="1" x14ac:dyDescent="0.25">
      <c r="A687" s="344"/>
      <c r="B687" s="344" t="s">
        <v>3283</v>
      </c>
      <c r="C687" s="344">
        <v>576</v>
      </c>
      <c r="D687" s="344"/>
      <c r="E687" s="190" t="s">
        <v>3284</v>
      </c>
      <c r="F687" s="183" t="s">
        <v>3285</v>
      </c>
      <c r="G687" s="183" t="s">
        <v>3286</v>
      </c>
      <c r="H687" s="184">
        <v>101251062137</v>
      </c>
      <c r="I687" s="185" t="s">
        <v>3287</v>
      </c>
      <c r="J687" s="146" t="s">
        <v>3288</v>
      </c>
      <c r="K687" s="247"/>
      <c r="L687" s="186">
        <v>44455</v>
      </c>
      <c r="M687" s="530">
        <v>1700000</v>
      </c>
    </row>
    <row r="688" spans="1:13" hidden="1" x14ac:dyDescent="0.25">
      <c r="A688" s="344"/>
      <c r="B688" s="344" t="s">
        <v>3290</v>
      </c>
      <c r="C688" s="344"/>
      <c r="D688" s="344" t="s">
        <v>3291</v>
      </c>
      <c r="E688" s="190" t="s">
        <v>192</v>
      </c>
      <c r="F688" s="183" t="s">
        <v>3057</v>
      </c>
      <c r="G688" s="183" t="s">
        <v>3058</v>
      </c>
      <c r="H688" s="184"/>
      <c r="I688" s="185" t="s">
        <v>3292</v>
      </c>
      <c r="J688" s="146" t="s">
        <v>3060</v>
      </c>
      <c r="K688" s="247"/>
      <c r="L688" s="186">
        <v>44456</v>
      </c>
      <c r="M688" s="530">
        <v>2200000</v>
      </c>
    </row>
    <row r="689" spans="1:13" hidden="1" x14ac:dyDescent="0.25">
      <c r="A689" s="344"/>
      <c r="B689" s="344" t="s">
        <v>2372</v>
      </c>
      <c r="C689" s="344">
        <v>577</v>
      </c>
      <c r="D689" s="344"/>
      <c r="E689" s="190" t="s">
        <v>87</v>
      </c>
      <c r="F689" s="183" t="s">
        <v>3306</v>
      </c>
      <c r="G689" s="183" t="s">
        <v>3307</v>
      </c>
      <c r="H689" s="184">
        <v>101251104437</v>
      </c>
      <c r="I689" s="185" t="s">
        <v>3308</v>
      </c>
      <c r="J689" s="146" t="s">
        <v>3309</v>
      </c>
      <c r="K689" s="247"/>
      <c r="L689" s="186">
        <v>44459</v>
      </c>
      <c r="M689" s="530">
        <v>2300000</v>
      </c>
    </row>
    <row r="690" spans="1:13" hidden="1" x14ac:dyDescent="0.25">
      <c r="A690" s="344"/>
      <c r="B690" s="344" t="s">
        <v>3239</v>
      </c>
      <c r="C690" s="344">
        <v>578</v>
      </c>
      <c r="D690" s="344"/>
      <c r="E690" s="190" t="s">
        <v>224</v>
      </c>
      <c r="F690" s="183" t="s">
        <v>3310</v>
      </c>
      <c r="G690" s="183" t="s">
        <v>3311</v>
      </c>
      <c r="H690" s="184">
        <v>201051009928</v>
      </c>
      <c r="I690" s="185" t="s">
        <v>3312</v>
      </c>
      <c r="J690" s="146" t="s">
        <v>3313</v>
      </c>
      <c r="K690" s="247"/>
      <c r="L690" s="186">
        <v>44463</v>
      </c>
      <c r="M690" s="530">
        <v>2000000</v>
      </c>
    </row>
    <row r="691" spans="1:13" hidden="1" x14ac:dyDescent="0.25">
      <c r="A691" s="344"/>
      <c r="B691" s="344" t="s">
        <v>3236</v>
      </c>
      <c r="C691" s="344">
        <v>579</v>
      </c>
      <c r="D691" s="344"/>
      <c r="E691" s="190" t="s">
        <v>224</v>
      </c>
      <c r="F691" s="183" t="s">
        <v>3314</v>
      </c>
      <c r="G691" s="183" t="s">
        <v>3315</v>
      </c>
      <c r="H691" s="184">
        <v>101211094445</v>
      </c>
      <c r="I691" s="185" t="s">
        <v>3316</v>
      </c>
      <c r="J691" s="146" t="s">
        <v>3317</v>
      </c>
      <c r="K691" s="247"/>
      <c r="L691" s="186">
        <v>44467</v>
      </c>
      <c r="M691" s="530">
        <v>2000000</v>
      </c>
    </row>
    <row r="692" spans="1:13" hidden="1" x14ac:dyDescent="0.25">
      <c r="A692" s="344"/>
      <c r="B692" s="344" t="s">
        <v>3235</v>
      </c>
      <c r="C692" s="344">
        <v>580</v>
      </c>
      <c r="D692" s="344"/>
      <c r="E692" s="190" t="s">
        <v>434</v>
      </c>
      <c r="F692" s="183" t="s">
        <v>3318</v>
      </c>
      <c r="G692" s="183" t="s">
        <v>3319</v>
      </c>
      <c r="H692" s="184">
        <v>117121015650</v>
      </c>
      <c r="I692" s="185" t="s">
        <v>3320</v>
      </c>
      <c r="J692" s="146" t="s">
        <v>3321</v>
      </c>
      <c r="K692" s="247"/>
      <c r="L692" s="186">
        <v>44467</v>
      </c>
      <c r="M692" s="530">
        <v>3800000</v>
      </c>
    </row>
    <row r="693" spans="1:13" hidden="1" x14ac:dyDescent="0.25">
      <c r="A693" s="344"/>
      <c r="B693" s="344" t="s">
        <v>3237</v>
      </c>
      <c r="C693" s="344">
        <v>581</v>
      </c>
      <c r="D693" s="344"/>
      <c r="E693" s="190" t="s">
        <v>192</v>
      </c>
      <c r="F693" s="183" t="s">
        <v>3149</v>
      </c>
      <c r="G693" s="183" t="s">
        <v>3322</v>
      </c>
      <c r="H693" s="184">
        <v>102032018266</v>
      </c>
      <c r="I693" s="185" t="s">
        <v>3323</v>
      </c>
      <c r="J693" s="146" t="s">
        <v>3324</v>
      </c>
      <c r="K693" s="247"/>
      <c r="L693" s="186">
        <v>44468</v>
      </c>
      <c r="M693" s="530">
        <v>2040000</v>
      </c>
    </row>
    <row r="694" spans="1:13" hidden="1" x14ac:dyDescent="0.25">
      <c r="A694" s="344"/>
      <c r="B694" s="344" t="s">
        <v>3172</v>
      </c>
      <c r="C694" s="344">
        <v>582</v>
      </c>
      <c r="D694" s="344"/>
      <c r="E694" s="190" t="s">
        <v>434</v>
      </c>
      <c r="F694" s="183" t="s">
        <v>3325</v>
      </c>
      <c r="G694" s="183" t="s">
        <v>3121</v>
      </c>
      <c r="H694" s="184">
        <v>101251112476</v>
      </c>
      <c r="I694" s="185" t="s">
        <v>3122</v>
      </c>
      <c r="J694" s="146" t="s">
        <v>3123</v>
      </c>
      <c r="K694" s="247"/>
      <c r="L694" s="186">
        <v>44470</v>
      </c>
      <c r="M694" s="530">
        <v>3400000</v>
      </c>
    </row>
    <row r="695" spans="1:13" x14ac:dyDescent="0.25">
      <c r="A695" s="344"/>
      <c r="B695" s="344" t="s">
        <v>3330</v>
      </c>
      <c r="C695" s="344">
        <v>583</v>
      </c>
      <c r="D695" s="344"/>
      <c r="E695" s="190" t="s">
        <v>3331</v>
      </c>
      <c r="F695" s="183" t="s">
        <v>3332</v>
      </c>
      <c r="G695" s="183" t="s">
        <v>3333</v>
      </c>
      <c r="H695" s="184">
        <v>101251218327</v>
      </c>
      <c r="I695" s="185" t="s">
        <v>3334</v>
      </c>
      <c r="J695" s="146" t="s">
        <v>3335</v>
      </c>
      <c r="K695" s="247"/>
      <c r="L695" s="186">
        <v>44470</v>
      </c>
      <c r="M695" s="530">
        <v>1000000</v>
      </c>
    </row>
    <row r="696" spans="1:13" hidden="1" x14ac:dyDescent="0.25">
      <c r="A696" s="344"/>
      <c r="B696" s="344" t="s">
        <v>3037</v>
      </c>
      <c r="C696" s="344">
        <v>584</v>
      </c>
      <c r="D696" s="344"/>
      <c r="E696" s="190" t="s">
        <v>87</v>
      </c>
      <c r="F696" s="183" t="s">
        <v>3326</v>
      </c>
      <c r="G696" s="183" t="s">
        <v>3327</v>
      </c>
      <c r="H696" s="184">
        <v>115031008639</v>
      </c>
      <c r="I696" s="185" t="s">
        <v>3328</v>
      </c>
      <c r="J696" s="146" t="s">
        <v>3329</v>
      </c>
      <c r="K696" s="247"/>
      <c r="L696" s="186">
        <v>44473</v>
      </c>
      <c r="M696" s="530">
        <v>2800000</v>
      </c>
    </row>
    <row r="697" spans="1:13" hidden="1" x14ac:dyDescent="0.25">
      <c r="A697" s="344"/>
      <c r="B697" s="344" t="s">
        <v>3336</v>
      </c>
      <c r="C697" s="344">
        <v>585</v>
      </c>
      <c r="D697" s="344"/>
      <c r="E697" s="190" t="s">
        <v>87</v>
      </c>
      <c r="F697" s="183" t="s">
        <v>927</v>
      </c>
      <c r="G697" s="183" t="s">
        <v>3337</v>
      </c>
      <c r="H697" s="184">
        <v>103111010975</v>
      </c>
      <c r="I697" s="185" t="s">
        <v>3062</v>
      </c>
      <c r="J697" s="146" t="s">
        <v>3338</v>
      </c>
      <c r="K697" s="247"/>
      <c r="L697" s="186">
        <v>44484</v>
      </c>
      <c r="M697" s="530">
        <v>1870000</v>
      </c>
    </row>
    <row r="698" spans="1:13" x14ac:dyDescent="0.25">
      <c r="A698" s="344"/>
      <c r="B698" s="344"/>
      <c r="C698" s="344"/>
      <c r="D698" s="344"/>
      <c r="E698" s="190"/>
      <c r="F698" s="183"/>
      <c r="G698" s="183"/>
      <c r="H698" s="184"/>
      <c r="I698" s="185"/>
      <c r="J698" s="146"/>
      <c r="K698" s="247"/>
      <c r="L698" s="186"/>
      <c r="M698" s="530"/>
    </row>
    <row r="699" spans="1:13" x14ac:dyDescent="0.25">
      <c r="A699" s="344"/>
      <c r="B699" s="344" t="s">
        <v>3301</v>
      </c>
      <c r="C699" s="344">
        <v>587</v>
      </c>
      <c r="D699" s="344"/>
      <c r="E699" s="190" t="s">
        <v>732</v>
      </c>
      <c r="F699" s="183" t="s">
        <v>3339</v>
      </c>
      <c r="G699" s="183" t="s">
        <v>3340</v>
      </c>
      <c r="H699" s="184">
        <v>101251180678</v>
      </c>
      <c r="I699" s="185" t="s">
        <v>3341</v>
      </c>
      <c r="J699" s="146" t="s">
        <v>3342</v>
      </c>
      <c r="K699" s="247"/>
      <c r="L699" s="186">
        <v>44483</v>
      </c>
      <c r="M699" s="530">
        <v>2600000</v>
      </c>
    </row>
    <row r="700" spans="1:13" x14ac:dyDescent="0.25">
      <c r="A700" s="344"/>
      <c r="B700" s="344" t="s">
        <v>3343</v>
      </c>
      <c r="C700" s="344">
        <v>588</v>
      </c>
      <c r="D700" s="344"/>
      <c r="E700" s="190" t="s">
        <v>309</v>
      </c>
      <c r="F700" s="183" t="s">
        <v>1006</v>
      </c>
      <c r="G700" s="183" t="s">
        <v>3344</v>
      </c>
      <c r="H700" s="184">
        <v>118331019537</v>
      </c>
      <c r="I700" s="185" t="s">
        <v>3345</v>
      </c>
      <c r="J700" s="146" t="s">
        <v>3346</v>
      </c>
      <c r="K700" s="247"/>
      <c r="L700" s="186">
        <v>44484</v>
      </c>
      <c r="M700" s="530">
        <v>3130000</v>
      </c>
    </row>
    <row r="701" spans="1:13" x14ac:dyDescent="0.25">
      <c r="A701" s="344"/>
      <c r="B701" s="344" t="s">
        <v>3173</v>
      </c>
      <c r="C701" s="344">
        <v>589</v>
      </c>
      <c r="D701" s="344"/>
      <c r="E701" s="190" t="s">
        <v>434</v>
      </c>
      <c r="F701" s="183" t="s">
        <v>3367</v>
      </c>
      <c r="G701" s="183" t="s">
        <v>3368</v>
      </c>
      <c r="H701" s="184">
        <v>102031025424</v>
      </c>
      <c r="I701" s="185" t="s">
        <v>3369</v>
      </c>
      <c r="J701" s="146" t="s">
        <v>3370</v>
      </c>
      <c r="K701" s="247"/>
      <c r="L701" s="186">
        <v>44489</v>
      </c>
      <c r="M701" s="530">
        <v>3400000</v>
      </c>
    </row>
    <row r="702" spans="1:13" x14ac:dyDescent="0.25">
      <c r="A702" s="344"/>
      <c r="B702" s="344" t="s">
        <v>3352</v>
      </c>
      <c r="C702" s="344">
        <v>590</v>
      </c>
      <c r="D702" s="344"/>
      <c r="E702" s="190" t="s">
        <v>3219</v>
      </c>
      <c r="F702" s="183" t="s">
        <v>3371</v>
      </c>
      <c r="G702" s="183" t="s">
        <v>3372</v>
      </c>
      <c r="H702" s="184">
        <v>313011024611</v>
      </c>
      <c r="I702" s="185" t="s">
        <v>3373</v>
      </c>
      <c r="J702" s="146" t="s">
        <v>3374</v>
      </c>
      <c r="K702" s="247"/>
      <c r="L702" s="186">
        <v>44489</v>
      </c>
      <c r="M702" s="530">
        <v>2400000</v>
      </c>
    </row>
    <row r="703" spans="1:13" x14ac:dyDescent="0.25">
      <c r="A703" s="344"/>
      <c r="B703" s="344" t="s">
        <v>3348</v>
      </c>
      <c r="C703" s="344">
        <v>591</v>
      </c>
      <c r="D703" s="344"/>
      <c r="E703" s="190" t="s">
        <v>309</v>
      </c>
      <c r="F703" s="183" t="s">
        <v>3375</v>
      </c>
      <c r="G703" s="183" t="s">
        <v>3376</v>
      </c>
      <c r="H703" s="184">
        <v>103111000327</v>
      </c>
      <c r="I703" s="185" t="s">
        <v>3377</v>
      </c>
      <c r="J703" s="146" t="s">
        <v>3378</v>
      </c>
      <c r="K703" s="247"/>
      <c r="L703" s="186">
        <v>44492</v>
      </c>
      <c r="M703" s="530">
        <v>3300000</v>
      </c>
    </row>
    <row r="704" spans="1:13" x14ac:dyDescent="0.25">
      <c r="A704" s="344"/>
      <c r="B704" s="344" t="s">
        <v>3350</v>
      </c>
      <c r="C704" s="344">
        <v>592</v>
      </c>
      <c r="D704" s="344"/>
      <c r="E704" s="190" t="s">
        <v>87</v>
      </c>
      <c r="F704" s="183" t="s">
        <v>3379</v>
      </c>
      <c r="G704" s="183" t="s">
        <v>3380</v>
      </c>
      <c r="H704" s="184">
        <v>102071022718</v>
      </c>
      <c r="I704" s="185" t="s">
        <v>3381</v>
      </c>
      <c r="J704" s="146" t="s">
        <v>3382</v>
      </c>
      <c r="K704" s="247"/>
      <c r="L704" s="186">
        <v>44492</v>
      </c>
      <c r="M704" s="530">
        <v>2800000</v>
      </c>
    </row>
    <row r="705" spans="1:13" x14ac:dyDescent="0.25">
      <c r="A705" s="344"/>
      <c r="B705" s="344" t="s">
        <v>3349</v>
      </c>
      <c r="C705" s="344">
        <v>593</v>
      </c>
      <c r="D705" s="344"/>
      <c r="E705" s="190" t="s">
        <v>87</v>
      </c>
      <c r="F705" s="183" t="s">
        <v>3383</v>
      </c>
      <c r="G705" s="183" t="s">
        <v>3384</v>
      </c>
      <c r="H705" s="184"/>
      <c r="I705" s="185"/>
      <c r="J705" s="146"/>
      <c r="K705" s="247"/>
      <c r="L705" s="186">
        <v>44492</v>
      </c>
      <c r="M705" s="530">
        <v>2400000</v>
      </c>
    </row>
    <row r="706" spans="1:13" x14ac:dyDescent="0.25">
      <c r="A706" s="344"/>
      <c r="B706" s="344" t="s">
        <v>3171</v>
      </c>
      <c r="C706" s="344">
        <v>594</v>
      </c>
      <c r="D706" s="344"/>
      <c r="E706" s="190" t="s">
        <v>434</v>
      </c>
      <c r="F706" s="183" t="s">
        <v>3385</v>
      </c>
      <c r="G706" s="183" t="s">
        <v>3386</v>
      </c>
      <c r="H706" s="184">
        <v>314031008039</v>
      </c>
      <c r="I706" s="185" t="s">
        <v>3387</v>
      </c>
      <c r="J706" s="146" t="s">
        <v>3388</v>
      </c>
      <c r="K706" s="247"/>
      <c r="L706" s="186">
        <v>44494</v>
      </c>
      <c r="M706" s="530">
        <v>3100000</v>
      </c>
    </row>
    <row r="707" spans="1:13" x14ac:dyDescent="0.25">
      <c r="A707" s="344"/>
      <c r="B707" s="344" t="s">
        <v>3242</v>
      </c>
      <c r="C707" s="344">
        <v>595</v>
      </c>
      <c r="D707" s="344"/>
      <c r="E707" s="190" t="s">
        <v>224</v>
      </c>
      <c r="F707" s="183" t="s">
        <v>3389</v>
      </c>
      <c r="G707" s="183" t="s">
        <v>3390</v>
      </c>
      <c r="H707" s="184">
        <v>101232150603</v>
      </c>
      <c r="I707" s="185" t="s">
        <v>3391</v>
      </c>
      <c r="J707" s="146" t="s">
        <v>3392</v>
      </c>
      <c r="K707" s="247"/>
      <c r="L707" s="186">
        <v>44495</v>
      </c>
      <c r="M707" s="530">
        <v>2200000</v>
      </c>
    </row>
    <row r="708" spans="1:13" x14ac:dyDescent="0.25">
      <c r="A708" s="344"/>
      <c r="B708" s="344" t="s">
        <v>3393</v>
      </c>
      <c r="C708" s="344">
        <v>597</v>
      </c>
      <c r="D708" s="344"/>
      <c r="E708" s="190" t="s">
        <v>309</v>
      </c>
      <c r="F708" s="183" t="s">
        <v>3394</v>
      </c>
      <c r="G708" s="183" t="s">
        <v>3395</v>
      </c>
      <c r="H708" s="184">
        <v>103111025067</v>
      </c>
      <c r="I708" s="185" t="s">
        <v>3396</v>
      </c>
      <c r="J708" s="146" t="s">
        <v>3397</v>
      </c>
      <c r="K708" s="247"/>
      <c r="L708" s="186">
        <v>44497</v>
      </c>
      <c r="M708" s="530">
        <v>4000000</v>
      </c>
    </row>
    <row r="709" spans="1:13" x14ac:dyDescent="0.25">
      <c r="A709" s="344"/>
      <c r="B709" s="344" t="s">
        <v>3398</v>
      </c>
      <c r="C709" s="344">
        <v>598</v>
      </c>
      <c r="D709" s="344"/>
      <c r="E709" s="190" t="s">
        <v>3399</v>
      </c>
      <c r="F709" s="183" t="s">
        <v>3400</v>
      </c>
      <c r="G709" s="183" t="s">
        <v>3403</v>
      </c>
      <c r="H709" s="184">
        <v>508991020556</v>
      </c>
      <c r="I709" s="185" t="s">
        <v>3401</v>
      </c>
      <c r="J709" s="146" t="s">
        <v>3402</v>
      </c>
      <c r="K709" s="247"/>
      <c r="L709" s="186">
        <v>44505</v>
      </c>
      <c r="M709" s="530">
        <v>2000000</v>
      </c>
    </row>
    <row r="710" spans="1:13" x14ac:dyDescent="0.25">
      <c r="A710" s="344"/>
      <c r="B710" s="344" t="s">
        <v>3360</v>
      </c>
      <c r="C710" s="344">
        <v>599</v>
      </c>
      <c r="D710" s="344"/>
      <c r="E710" s="190" t="s">
        <v>434</v>
      </c>
      <c r="F710" s="183" t="s">
        <v>3404</v>
      </c>
      <c r="G710" s="183" t="s">
        <v>3405</v>
      </c>
      <c r="H710" s="184">
        <v>114011035747</v>
      </c>
      <c r="I710" s="185" t="s">
        <v>3406</v>
      </c>
      <c r="J710" s="146" t="s">
        <v>3407</v>
      </c>
      <c r="K710" s="247"/>
      <c r="L710" s="186">
        <v>44504</v>
      </c>
      <c r="M710" s="530">
        <v>3800000</v>
      </c>
    </row>
    <row r="711" spans="1:13" x14ac:dyDescent="0.25">
      <c r="A711" s="344"/>
      <c r="B711" s="344" t="s">
        <v>3365</v>
      </c>
      <c r="C711" s="344">
        <v>600</v>
      </c>
      <c r="D711" s="344"/>
      <c r="E711" s="190" t="s">
        <v>87</v>
      </c>
      <c r="F711" s="183" t="s">
        <v>3408</v>
      </c>
      <c r="G711" s="183" t="s">
        <v>3409</v>
      </c>
      <c r="H711" s="184">
        <v>101211121244</v>
      </c>
      <c r="I711" s="185" t="s">
        <v>3410</v>
      </c>
      <c r="J711" s="146" t="s">
        <v>2465</v>
      </c>
      <c r="K711" s="247"/>
      <c r="L711" s="186">
        <v>44505</v>
      </c>
      <c r="M711" s="530">
        <v>2700000</v>
      </c>
    </row>
    <row r="712" spans="1:13" x14ac:dyDescent="0.25">
      <c r="A712" s="344"/>
      <c r="B712" s="344" t="s">
        <v>3356</v>
      </c>
      <c r="C712" s="344">
        <v>601</v>
      </c>
      <c r="D712" s="344"/>
      <c r="E712" s="190" t="s">
        <v>434</v>
      </c>
      <c r="F712" s="183" t="s">
        <v>3411</v>
      </c>
      <c r="G712" s="183" t="s">
        <v>3412</v>
      </c>
      <c r="H712" s="184">
        <v>103152009965</v>
      </c>
      <c r="I712" s="185" t="s">
        <v>3413</v>
      </c>
      <c r="J712" s="146" t="s">
        <v>3414</v>
      </c>
      <c r="K712" s="247"/>
      <c r="L712" s="186">
        <v>44506</v>
      </c>
      <c r="M712" s="530">
        <v>3550000</v>
      </c>
    </row>
    <row r="713" spans="1:13" x14ac:dyDescent="0.25">
      <c r="A713" s="344"/>
      <c r="B713" s="344" t="s">
        <v>3362</v>
      </c>
      <c r="C713" s="344">
        <v>602</v>
      </c>
      <c r="D713" s="344"/>
      <c r="E713" s="190" t="s">
        <v>87</v>
      </c>
      <c r="F713" s="183" t="s">
        <v>3415</v>
      </c>
      <c r="G713" s="183" t="s">
        <v>3416</v>
      </c>
      <c r="H713" s="184">
        <v>114231007871</v>
      </c>
      <c r="I713" s="185" t="s">
        <v>3417</v>
      </c>
      <c r="J713" s="146" t="s">
        <v>3418</v>
      </c>
      <c r="K713" s="247"/>
      <c r="L713" s="186">
        <v>44508</v>
      </c>
      <c r="M713" s="530">
        <v>3000000</v>
      </c>
    </row>
    <row r="714" spans="1:13" x14ac:dyDescent="0.25">
      <c r="A714" s="344"/>
      <c r="B714" s="344" t="s">
        <v>3359</v>
      </c>
      <c r="C714" s="344">
        <v>603</v>
      </c>
      <c r="D714" s="344"/>
      <c r="E714" s="190" t="s">
        <v>434</v>
      </c>
      <c r="F714" s="183" t="s">
        <v>1006</v>
      </c>
      <c r="G714" s="183" t="s">
        <v>3419</v>
      </c>
      <c r="H714" s="184">
        <v>117311013152</v>
      </c>
      <c r="I714" s="185" t="s">
        <v>3420</v>
      </c>
      <c r="J714" s="146" t="s">
        <v>3421</v>
      </c>
      <c r="K714" s="247"/>
      <c r="L714" s="186">
        <v>44508</v>
      </c>
      <c r="M714" s="530">
        <v>3800000</v>
      </c>
    </row>
    <row r="715" spans="1:13" x14ac:dyDescent="0.25">
      <c r="A715" s="344"/>
      <c r="B715" s="344" t="s">
        <v>3300</v>
      </c>
      <c r="C715" s="344"/>
      <c r="D715" s="344" t="s">
        <v>3484</v>
      </c>
      <c r="E715" s="190" t="s">
        <v>3219</v>
      </c>
      <c r="F715" s="183" t="s">
        <v>3485</v>
      </c>
      <c r="G715" s="183" t="s">
        <v>3486</v>
      </c>
      <c r="H715" s="184">
        <v>102031000216</v>
      </c>
      <c r="I715" s="185" t="s">
        <v>3487</v>
      </c>
      <c r="J715" s="146" t="s">
        <v>3488</v>
      </c>
      <c r="K715" s="247"/>
      <c r="L715" s="186">
        <v>44474</v>
      </c>
      <c r="M715" s="530">
        <v>2800000</v>
      </c>
    </row>
    <row r="716" spans="1:13" x14ac:dyDescent="0.25">
      <c r="A716" s="344"/>
      <c r="B716" s="344" t="s">
        <v>3304</v>
      </c>
      <c r="C716" s="344"/>
      <c r="D716" s="344" t="s">
        <v>3489</v>
      </c>
      <c r="E716" s="190" t="s">
        <v>87</v>
      </c>
      <c r="F716" s="183" t="s">
        <v>3490</v>
      </c>
      <c r="G716" s="183" t="s">
        <v>3491</v>
      </c>
      <c r="H716" s="184">
        <v>101211237191</v>
      </c>
      <c r="I716" s="185" t="s">
        <v>3492</v>
      </c>
      <c r="J716" s="146" t="s">
        <v>3493</v>
      </c>
      <c r="K716" s="247" t="s">
        <v>3732</v>
      </c>
      <c r="L716" s="186">
        <v>44475</v>
      </c>
      <c r="M716" s="530"/>
    </row>
    <row r="717" spans="1:13" x14ac:dyDescent="0.25">
      <c r="A717" s="344"/>
      <c r="B717" s="344" t="s">
        <v>3299</v>
      </c>
      <c r="C717" s="344"/>
      <c r="D717" s="344" t="s">
        <v>3422</v>
      </c>
      <c r="E717" s="190" t="s">
        <v>3219</v>
      </c>
      <c r="F717" s="183" t="s">
        <v>2602</v>
      </c>
      <c r="G717" s="183" t="s">
        <v>3423</v>
      </c>
      <c r="H717" s="184">
        <v>101251225820</v>
      </c>
      <c r="I717" s="185" t="s">
        <v>3424</v>
      </c>
      <c r="J717" s="146" t="s">
        <v>3425</v>
      </c>
      <c r="K717" s="247"/>
      <c r="L717" s="186">
        <v>44481</v>
      </c>
      <c r="M717" s="530">
        <v>4500000</v>
      </c>
    </row>
    <row r="718" spans="1:13" x14ac:dyDescent="0.25">
      <c r="A718" s="344"/>
      <c r="B718" s="344" t="s">
        <v>3170</v>
      </c>
      <c r="C718" s="344"/>
      <c r="D718" s="344" t="s">
        <v>3426</v>
      </c>
      <c r="E718" s="190" t="s">
        <v>434</v>
      </c>
      <c r="F718" s="183" t="s">
        <v>1178</v>
      </c>
      <c r="G718" s="183" t="s">
        <v>3427</v>
      </c>
      <c r="H718" s="184">
        <v>117121012677</v>
      </c>
      <c r="I718" s="185" t="s">
        <v>3428</v>
      </c>
      <c r="J718" s="146" t="s">
        <v>3429</v>
      </c>
      <c r="K718" s="247"/>
      <c r="L718" s="186">
        <v>44497</v>
      </c>
      <c r="M718" s="530">
        <v>3200000</v>
      </c>
    </row>
    <row r="719" spans="1:13" x14ac:dyDescent="0.25">
      <c r="A719" s="344"/>
      <c r="B719" s="344" t="s">
        <v>3357</v>
      </c>
      <c r="C719" s="344">
        <v>604</v>
      </c>
      <c r="D719" s="344"/>
      <c r="E719" s="190" t="s">
        <v>434</v>
      </c>
      <c r="F719" s="183" t="s">
        <v>3443</v>
      </c>
      <c r="G719" s="183" t="s">
        <v>3444</v>
      </c>
      <c r="H719" s="184">
        <v>101231075674</v>
      </c>
      <c r="I719" s="185" t="s">
        <v>3445</v>
      </c>
      <c r="J719" s="146" t="s">
        <v>3446</v>
      </c>
      <c r="K719" s="247"/>
      <c r="L719" s="186">
        <v>44509</v>
      </c>
      <c r="M719" s="530">
        <v>3600000</v>
      </c>
    </row>
    <row r="720" spans="1:13" x14ac:dyDescent="0.25">
      <c r="A720" s="344"/>
      <c r="B720" s="344" t="s">
        <v>3361</v>
      </c>
      <c r="C720" s="344">
        <v>605</v>
      </c>
      <c r="D720" s="344"/>
      <c r="E720" s="190" t="s">
        <v>434</v>
      </c>
      <c r="F720" s="183" t="s">
        <v>3447</v>
      </c>
      <c r="G720" s="183" t="s">
        <v>3448</v>
      </c>
      <c r="H720" s="184">
        <v>516012023641</v>
      </c>
      <c r="I720" s="185" t="s">
        <v>3449</v>
      </c>
      <c r="J720" s="146" t="s">
        <v>3450</v>
      </c>
      <c r="K720" s="247"/>
      <c r="L720" s="186">
        <v>44511</v>
      </c>
      <c r="M720" s="530">
        <v>3300000</v>
      </c>
    </row>
    <row r="721" spans="1:13" x14ac:dyDescent="0.25">
      <c r="A721" s="344"/>
      <c r="B721" s="344" t="s">
        <v>3451</v>
      </c>
      <c r="C721" s="344">
        <v>606</v>
      </c>
      <c r="D721" s="344"/>
      <c r="E721" s="190" t="s">
        <v>936</v>
      </c>
      <c r="F721" s="183" t="s">
        <v>3452</v>
      </c>
      <c r="G721" s="183" t="s">
        <v>3453</v>
      </c>
      <c r="H721" s="184">
        <v>310011022050</v>
      </c>
      <c r="I721" s="185" t="s">
        <v>1447</v>
      </c>
      <c r="J721" s="146" t="s">
        <v>3454</v>
      </c>
      <c r="K721" s="247"/>
      <c r="L721" s="186">
        <v>44512</v>
      </c>
      <c r="M721" s="530">
        <v>6000000</v>
      </c>
    </row>
    <row r="722" spans="1:13" x14ac:dyDescent="0.25">
      <c r="A722" s="344"/>
      <c r="B722" s="344" t="s">
        <v>3358</v>
      </c>
      <c r="C722" s="344">
        <v>607</v>
      </c>
      <c r="D722" s="344"/>
      <c r="E722" s="190" t="s">
        <v>435</v>
      </c>
      <c r="F722" s="183" t="s">
        <v>3455</v>
      </c>
      <c r="G722" s="183" t="s">
        <v>3456</v>
      </c>
      <c r="H722" s="184">
        <v>102071022520</v>
      </c>
      <c r="I722" s="185" t="s">
        <v>3457</v>
      </c>
      <c r="J722" s="146" t="s">
        <v>3458</v>
      </c>
      <c r="K722" s="247"/>
      <c r="L722" s="186">
        <v>44512</v>
      </c>
      <c r="M722" s="530">
        <v>3800000</v>
      </c>
    </row>
    <row r="723" spans="1:13" x14ac:dyDescent="0.25">
      <c r="A723" s="344"/>
      <c r="B723" s="344" t="s">
        <v>3459</v>
      </c>
      <c r="C723" s="344">
        <v>608</v>
      </c>
      <c r="D723" s="344"/>
      <c r="E723" s="190" t="s">
        <v>936</v>
      </c>
      <c r="F723" s="183" t="s">
        <v>3460</v>
      </c>
      <c r="G723" s="183" t="s">
        <v>3461</v>
      </c>
      <c r="H723" s="184">
        <v>101251224925</v>
      </c>
      <c r="I723" s="185" t="s">
        <v>3462</v>
      </c>
      <c r="J723" s="146" t="s">
        <v>3463</v>
      </c>
      <c r="K723" s="247"/>
      <c r="L723" s="186">
        <v>44512</v>
      </c>
      <c r="M723" s="530">
        <v>6000000</v>
      </c>
    </row>
    <row r="724" spans="1:13" x14ac:dyDescent="0.25">
      <c r="A724" s="344"/>
      <c r="B724" s="344" t="s">
        <v>3431</v>
      </c>
      <c r="C724" s="344">
        <v>609</v>
      </c>
      <c r="D724" s="344"/>
      <c r="E724" s="190" t="s">
        <v>732</v>
      </c>
      <c r="F724" s="183" t="s">
        <v>3464</v>
      </c>
      <c r="G724" s="183" t="s">
        <v>3465</v>
      </c>
      <c r="H724" s="184">
        <v>103371001777</v>
      </c>
      <c r="I724" s="185" t="s">
        <v>3466</v>
      </c>
      <c r="J724" s="146" t="s">
        <v>3467</v>
      </c>
      <c r="K724" s="247"/>
      <c r="L724" s="186">
        <v>44516</v>
      </c>
      <c r="M724" s="530">
        <v>2400000</v>
      </c>
    </row>
    <row r="725" spans="1:13" x14ac:dyDescent="0.25">
      <c r="A725" s="344"/>
      <c r="B725" s="344" t="s">
        <v>3170</v>
      </c>
      <c r="C725" s="344">
        <v>610</v>
      </c>
      <c r="D725" s="344"/>
      <c r="E725" s="190" t="s">
        <v>435</v>
      </c>
      <c r="F725" s="183" t="s">
        <v>3468</v>
      </c>
      <c r="G725" s="183" t="s">
        <v>3469</v>
      </c>
      <c r="H725" s="184">
        <v>203011025638</v>
      </c>
      <c r="I725" s="185" t="s">
        <v>3470</v>
      </c>
      <c r="J725" s="146" t="s">
        <v>3471</v>
      </c>
      <c r="K725" s="247"/>
      <c r="L725" s="186">
        <v>44517</v>
      </c>
      <c r="M725" s="530">
        <v>3400000</v>
      </c>
    </row>
    <row r="726" spans="1:13" x14ac:dyDescent="0.25">
      <c r="A726" s="344"/>
      <c r="B726" s="344" t="s">
        <v>3364</v>
      </c>
      <c r="C726" s="344">
        <v>611</v>
      </c>
      <c r="D726" s="344"/>
      <c r="E726" s="190" t="s">
        <v>87</v>
      </c>
      <c r="F726" s="183" t="s">
        <v>57</v>
      </c>
      <c r="G726" s="183" t="s">
        <v>3472</v>
      </c>
      <c r="H726" s="184">
        <v>105011006003</v>
      </c>
      <c r="I726" s="185" t="s">
        <v>3473</v>
      </c>
      <c r="J726" s="146" t="s">
        <v>3474</v>
      </c>
      <c r="K726" s="247"/>
      <c r="L726" s="186">
        <v>44517</v>
      </c>
      <c r="M726" s="530">
        <v>2770000</v>
      </c>
    </row>
    <row r="727" spans="1:13" x14ac:dyDescent="0.25">
      <c r="A727" s="344"/>
      <c r="B727" s="344" t="s">
        <v>3363</v>
      </c>
      <c r="C727" s="344">
        <v>612</v>
      </c>
      <c r="D727" s="344"/>
      <c r="E727" s="190" t="s">
        <v>28</v>
      </c>
      <c r="F727" s="183" t="s">
        <v>3475</v>
      </c>
      <c r="G727" s="183" t="s">
        <v>3476</v>
      </c>
      <c r="H727" s="184">
        <v>111031012256</v>
      </c>
      <c r="I727" s="185" t="s">
        <v>3477</v>
      </c>
      <c r="J727" s="146" t="s">
        <v>3478</v>
      </c>
      <c r="K727" s="247"/>
      <c r="L727" s="186">
        <v>44520</v>
      </c>
      <c r="M727" s="530">
        <v>2700000</v>
      </c>
    </row>
    <row r="728" spans="1:13" x14ac:dyDescent="0.25">
      <c r="A728" s="344"/>
      <c r="B728" s="344" t="s">
        <v>3479</v>
      </c>
      <c r="C728" s="344">
        <v>613</v>
      </c>
      <c r="D728" s="344"/>
      <c r="E728" s="190" t="s">
        <v>87</v>
      </c>
      <c r="F728" s="183" t="s">
        <v>3480</v>
      </c>
      <c r="G728" s="183" t="s">
        <v>3481</v>
      </c>
      <c r="H728" s="184">
        <v>106301021200</v>
      </c>
      <c r="I728" s="185" t="s">
        <v>3482</v>
      </c>
      <c r="J728" s="146" t="s">
        <v>3483</v>
      </c>
      <c r="K728" s="247"/>
      <c r="L728" s="186">
        <v>44522</v>
      </c>
      <c r="M728" s="530">
        <v>3000000</v>
      </c>
    </row>
    <row r="729" spans="1:13" x14ac:dyDescent="0.25">
      <c r="A729" s="344"/>
      <c r="B729" s="344" t="s">
        <v>3300</v>
      </c>
      <c r="C729" s="344">
        <v>614</v>
      </c>
      <c r="D729" s="344"/>
      <c r="E729" s="190" t="s">
        <v>3219</v>
      </c>
      <c r="F729" s="183" t="s">
        <v>3497</v>
      </c>
      <c r="G729" s="183" t="s">
        <v>3498</v>
      </c>
      <c r="H729" s="184">
        <v>101242166620</v>
      </c>
      <c r="I729" s="185" t="s">
        <v>3499</v>
      </c>
      <c r="J729" s="146" t="s">
        <v>3500</v>
      </c>
      <c r="K729" s="247"/>
      <c r="L729" s="186">
        <v>44525</v>
      </c>
      <c r="M729" s="530">
        <v>2600000</v>
      </c>
    </row>
    <row r="730" spans="1:13" x14ac:dyDescent="0.25">
      <c r="A730" s="344"/>
      <c r="B730" s="344" t="s">
        <v>3434</v>
      </c>
      <c r="C730" s="344">
        <v>615</v>
      </c>
      <c r="D730" s="344"/>
      <c r="E730" s="190" t="s">
        <v>434</v>
      </c>
      <c r="F730" s="183" t="s">
        <v>3501</v>
      </c>
      <c r="G730" s="183" t="s">
        <v>3502</v>
      </c>
      <c r="H730" s="184">
        <v>101211157614</v>
      </c>
      <c r="I730" s="185" t="s">
        <v>3503</v>
      </c>
      <c r="J730" s="146" t="s">
        <v>3504</v>
      </c>
      <c r="K730" s="247"/>
      <c r="L730" s="186">
        <v>44525</v>
      </c>
      <c r="M730" s="530">
        <v>3450000</v>
      </c>
    </row>
    <row r="731" spans="1:13" x14ac:dyDescent="0.25">
      <c r="A731" s="344"/>
      <c r="B731" s="344" t="s">
        <v>3505</v>
      </c>
      <c r="C731" s="344">
        <v>616</v>
      </c>
      <c r="D731" s="344"/>
      <c r="E731" s="190" t="s">
        <v>87</v>
      </c>
      <c r="F731" s="183" t="s">
        <v>3506</v>
      </c>
      <c r="G731" s="183" t="s">
        <v>3507</v>
      </c>
      <c r="H731" s="184">
        <v>220071005671</v>
      </c>
      <c r="I731" s="185" t="s">
        <v>3508</v>
      </c>
      <c r="J731" s="146" t="s">
        <v>3509</v>
      </c>
      <c r="K731" s="247"/>
      <c r="L731" s="186">
        <v>44526</v>
      </c>
      <c r="M731" s="530">
        <v>2600000</v>
      </c>
    </row>
    <row r="732" spans="1:13" x14ac:dyDescent="0.25">
      <c r="A732" s="344"/>
      <c r="B732" s="344" t="s">
        <v>2484</v>
      </c>
      <c r="C732" s="344">
        <v>617</v>
      </c>
      <c r="D732" s="344"/>
      <c r="E732" s="190" t="s">
        <v>224</v>
      </c>
      <c r="F732" s="183" t="s">
        <v>3510</v>
      </c>
      <c r="G732" s="183" t="s">
        <v>3511</v>
      </c>
      <c r="H732" s="184">
        <v>109011004581</v>
      </c>
      <c r="I732" s="185" t="s">
        <v>3512</v>
      </c>
      <c r="J732" s="146" t="s">
        <v>3513</v>
      </c>
      <c r="K732" s="247"/>
      <c r="L732" s="186">
        <v>44529</v>
      </c>
      <c r="M732" s="530">
        <v>2250000</v>
      </c>
    </row>
    <row r="733" spans="1:13" x14ac:dyDescent="0.25">
      <c r="A733" s="344"/>
      <c r="B733" s="344" t="s">
        <v>3304</v>
      </c>
      <c r="C733" s="173">
        <v>618</v>
      </c>
      <c r="D733" s="344" t="s">
        <v>3489</v>
      </c>
      <c r="E733" s="190" t="s">
        <v>87</v>
      </c>
      <c r="F733" s="183" t="s">
        <v>3514</v>
      </c>
      <c r="G733" s="183" t="s">
        <v>3515</v>
      </c>
      <c r="H733" s="184">
        <v>103051021387</v>
      </c>
      <c r="I733" s="185" t="s">
        <v>3516</v>
      </c>
      <c r="J733" s="146" t="s">
        <v>3517</v>
      </c>
      <c r="K733" s="247"/>
      <c r="L733" s="186">
        <v>44527</v>
      </c>
      <c r="M733" s="530">
        <v>2800000</v>
      </c>
    </row>
    <row r="734" spans="1:13" x14ac:dyDescent="0.25">
      <c r="A734" s="344"/>
      <c r="B734" s="344" t="s">
        <v>3296</v>
      </c>
      <c r="C734" s="344">
        <v>619</v>
      </c>
      <c r="D734" s="344"/>
      <c r="E734" s="190" t="s">
        <v>87</v>
      </c>
      <c r="F734" s="183" t="s">
        <v>3518</v>
      </c>
      <c r="G734" s="183" t="s">
        <v>3519</v>
      </c>
      <c r="H734" s="184">
        <v>101231153080</v>
      </c>
      <c r="I734" s="185" t="s">
        <v>3520</v>
      </c>
      <c r="J734" s="146" t="s">
        <v>3521</v>
      </c>
      <c r="K734" s="247"/>
      <c r="L734" s="186">
        <v>44527</v>
      </c>
      <c r="M734" s="530">
        <v>3400000</v>
      </c>
    </row>
    <row r="735" spans="1:13" x14ac:dyDescent="0.25">
      <c r="A735" s="344"/>
      <c r="B735" s="344" t="s">
        <v>3432</v>
      </c>
      <c r="C735" s="344">
        <v>620</v>
      </c>
      <c r="D735" s="344"/>
      <c r="E735" s="190" t="s">
        <v>434</v>
      </c>
      <c r="F735" s="183" t="s">
        <v>63</v>
      </c>
      <c r="G735" s="183" t="s">
        <v>3522</v>
      </c>
      <c r="H735" s="184">
        <v>102011010569</v>
      </c>
      <c r="I735" s="185" t="s">
        <v>3523</v>
      </c>
      <c r="J735" s="146" t="s">
        <v>3524</v>
      </c>
      <c r="K735" s="247"/>
      <c r="L735" s="186">
        <v>44532</v>
      </c>
      <c r="M735" s="530">
        <v>3800000</v>
      </c>
    </row>
    <row r="736" spans="1:13" x14ac:dyDescent="0.25">
      <c r="A736" s="344"/>
      <c r="B736" s="344" t="s">
        <v>3433</v>
      </c>
      <c r="C736" s="344">
        <v>621</v>
      </c>
      <c r="D736" s="344"/>
      <c r="E736" s="190" t="s">
        <v>434</v>
      </c>
      <c r="F736" s="183" t="s">
        <v>2118</v>
      </c>
      <c r="G736" s="183" t="s">
        <v>3525</v>
      </c>
      <c r="H736" s="184">
        <v>103031010830</v>
      </c>
      <c r="I736" s="185" t="s">
        <v>3551</v>
      </c>
      <c r="J736" s="146" t="s">
        <v>3526</v>
      </c>
      <c r="K736" s="247"/>
      <c r="L736" s="186">
        <v>44532</v>
      </c>
      <c r="M736" s="530"/>
    </row>
    <row r="737" spans="1:13" x14ac:dyDescent="0.25">
      <c r="A737" s="344"/>
      <c r="B737" s="344" t="s">
        <v>3439</v>
      </c>
      <c r="C737" s="344">
        <v>622</v>
      </c>
      <c r="D737" s="344"/>
      <c r="E737" s="190" t="s">
        <v>434</v>
      </c>
      <c r="F737" s="183" t="s">
        <v>666</v>
      </c>
      <c r="G737" s="183" t="s">
        <v>3527</v>
      </c>
      <c r="H737" s="184">
        <v>101251129041</v>
      </c>
      <c r="I737" s="185" t="s">
        <v>3528</v>
      </c>
      <c r="J737" s="146" t="s">
        <v>3529</v>
      </c>
      <c r="K737" s="247"/>
      <c r="L737" s="186">
        <v>44533</v>
      </c>
      <c r="M737" s="530">
        <v>3900000</v>
      </c>
    </row>
    <row r="738" spans="1:13" x14ac:dyDescent="0.25">
      <c r="A738" s="344"/>
      <c r="B738" s="344" t="s">
        <v>1205</v>
      </c>
      <c r="C738" s="344">
        <v>623</v>
      </c>
      <c r="D738" s="344"/>
      <c r="E738" s="190" t="s">
        <v>224</v>
      </c>
      <c r="F738" s="183" t="s">
        <v>3530</v>
      </c>
      <c r="G738" s="183" t="s">
        <v>3531</v>
      </c>
      <c r="H738" s="184">
        <v>101251216899</v>
      </c>
      <c r="I738" s="185" t="s">
        <v>3532</v>
      </c>
      <c r="J738" s="146" t="s">
        <v>3533</v>
      </c>
      <c r="K738" s="247"/>
      <c r="L738" s="186">
        <v>44534</v>
      </c>
      <c r="M738" s="530">
        <v>2000000</v>
      </c>
    </row>
    <row r="739" spans="1:13" x14ac:dyDescent="0.25">
      <c r="A739" s="344"/>
      <c r="B739" s="344" t="s">
        <v>3437</v>
      </c>
      <c r="C739" s="344">
        <v>624</v>
      </c>
      <c r="D739" s="344"/>
      <c r="E739" s="190" t="s">
        <v>435</v>
      </c>
      <c r="F739" s="183" t="s">
        <v>3537</v>
      </c>
      <c r="G739" s="183" t="s">
        <v>3554</v>
      </c>
      <c r="H739" s="184">
        <v>101251164139</v>
      </c>
      <c r="I739" s="185" t="s">
        <v>3552</v>
      </c>
      <c r="J739" s="146" t="s">
        <v>3553</v>
      </c>
      <c r="K739" s="247"/>
      <c r="L739" s="186">
        <v>44537</v>
      </c>
      <c r="M739" s="530">
        <v>3500000</v>
      </c>
    </row>
    <row r="740" spans="1:13" x14ac:dyDescent="0.25">
      <c r="A740" s="344"/>
      <c r="B740" s="344" t="s">
        <v>3298</v>
      </c>
      <c r="C740" s="344">
        <v>625</v>
      </c>
      <c r="D740" s="344"/>
      <c r="E740" s="190" t="s">
        <v>87</v>
      </c>
      <c r="F740" s="183" t="s">
        <v>2018</v>
      </c>
      <c r="G740" s="183" t="s">
        <v>3555</v>
      </c>
      <c r="H740" s="184">
        <v>101241120655</v>
      </c>
      <c r="I740" s="185" t="s">
        <v>3556</v>
      </c>
      <c r="J740" s="146" t="s">
        <v>3557</v>
      </c>
      <c r="K740" s="247"/>
      <c r="L740" s="186">
        <v>44538</v>
      </c>
      <c r="M740" s="530">
        <v>2400000</v>
      </c>
    </row>
    <row r="741" spans="1:13" x14ac:dyDescent="0.25">
      <c r="A741" s="344"/>
      <c r="B741" s="344" t="s">
        <v>3558</v>
      </c>
      <c r="C741" s="344">
        <v>626</v>
      </c>
      <c r="D741" s="344"/>
      <c r="E741" s="190" t="s">
        <v>936</v>
      </c>
      <c r="F741" s="183" t="s">
        <v>3559</v>
      </c>
      <c r="G741" s="183" t="s">
        <v>3560</v>
      </c>
      <c r="H741" s="184">
        <v>101221109765</v>
      </c>
      <c r="I741" s="185" t="s">
        <v>3561</v>
      </c>
      <c r="J741" s="146" t="s">
        <v>3562</v>
      </c>
      <c r="K741" s="247"/>
      <c r="L741" s="186">
        <v>44538</v>
      </c>
      <c r="M741" s="530">
        <v>9600000</v>
      </c>
    </row>
    <row r="742" spans="1:13" x14ac:dyDescent="0.25">
      <c r="A742" s="344"/>
      <c r="B742" s="344" t="s">
        <v>3351</v>
      </c>
      <c r="C742" s="344">
        <v>627</v>
      </c>
      <c r="D742" s="344"/>
      <c r="E742" s="190" t="s">
        <v>87</v>
      </c>
      <c r="F742" s="183" t="s">
        <v>3563</v>
      </c>
      <c r="G742" s="183" t="s">
        <v>3564</v>
      </c>
      <c r="H742" s="184">
        <v>102091026859</v>
      </c>
      <c r="I742" s="185" t="s">
        <v>3565</v>
      </c>
      <c r="J742" s="146" t="s">
        <v>3566</v>
      </c>
      <c r="K742" s="247"/>
      <c r="L742" s="186">
        <v>44538</v>
      </c>
      <c r="M742" s="530">
        <v>2350000</v>
      </c>
    </row>
    <row r="743" spans="1:13" x14ac:dyDescent="0.25">
      <c r="A743" s="344"/>
      <c r="B743" s="344" t="s">
        <v>3436</v>
      </c>
      <c r="C743" s="344">
        <v>628</v>
      </c>
      <c r="D743" s="344"/>
      <c r="E743" s="190" t="s">
        <v>435</v>
      </c>
      <c r="F743" s="183" t="s">
        <v>1126</v>
      </c>
      <c r="G743" s="183" t="s">
        <v>3567</v>
      </c>
      <c r="H743" s="184">
        <v>101251222645</v>
      </c>
      <c r="I743" s="185" t="s">
        <v>3568</v>
      </c>
      <c r="J743" s="146" t="s">
        <v>3569</v>
      </c>
      <c r="K743" s="247"/>
      <c r="L743" s="186">
        <v>44541</v>
      </c>
      <c r="M743" s="530">
        <v>3600000</v>
      </c>
    </row>
    <row r="744" spans="1:13" x14ac:dyDescent="0.25">
      <c r="A744" s="344"/>
      <c r="B744" s="344" t="s">
        <v>3570</v>
      </c>
      <c r="C744" s="344">
        <v>629</v>
      </c>
      <c r="D744" s="344"/>
      <c r="E744" s="190" t="s">
        <v>732</v>
      </c>
      <c r="F744" s="183" t="s">
        <v>3571</v>
      </c>
      <c r="G744" s="183" t="s">
        <v>3572</v>
      </c>
      <c r="H744" s="184">
        <v>103031009376</v>
      </c>
      <c r="I744" s="185" t="s">
        <v>3573</v>
      </c>
      <c r="J744" s="146" t="s">
        <v>3574</v>
      </c>
      <c r="K744" s="247"/>
      <c r="L744" s="186">
        <v>44544</v>
      </c>
      <c r="M744" s="530">
        <v>4000000</v>
      </c>
    </row>
    <row r="745" spans="1:13" x14ac:dyDescent="0.25">
      <c r="A745" s="344"/>
      <c r="B745" s="344" t="s">
        <v>3575</v>
      </c>
      <c r="C745" s="344">
        <v>630</v>
      </c>
      <c r="D745" s="344"/>
      <c r="E745" s="190" t="s">
        <v>224</v>
      </c>
      <c r="F745" s="183" t="s">
        <v>1215</v>
      </c>
      <c r="G745" s="183" t="s">
        <v>3576</v>
      </c>
      <c r="H745" s="184">
        <v>101252158754</v>
      </c>
      <c r="I745" s="185" t="s">
        <v>3577</v>
      </c>
      <c r="J745" s="146" t="s">
        <v>3578</v>
      </c>
      <c r="K745" s="247"/>
      <c r="L745" s="186">
        <v>44544</v>
      </c>
      <c r="M745" s="530">
        <v>2400000</v>
      </c>
    </row>
    <row r="746" spans="1:13" x14ac:dyDescent="0.25">
      <c r="A746" s="344"/>
      <c r="B746" s="344" t="s">
        <v>3173</v>
      </c>
      <c r="C746" s="344">
        <v>631</v>
      </c>
      <c r="D746" s="344"/>
      <c r="E746" s="190" t="s">
        <v>435</v>
      </c>
      <c r="F746" s="183" t="s">
        <v>3579</v>
      </c>
      <c r="G746" s="183" t="s">
        <v>3580</v>
      </c>
      <c r="H746" s="184">
        <v>102071021545</v>
      </c>
      <c r="I746" s="185" t="s">
        <v>3581</v>
      </c>
      <c r="J746" s="146"/>
      <c r="K746" s="247"/>
      <c r="L746" s="186">
        <v>44544</v>
      </c>
      <c r="M746" s="530">
        <v>3400000</v>
      </c>
    </row>
    <row r="747" spans="1:13" x14ac:dyDescent="0.25">
      <c r="A747" s="344"/>
      <c r="B747" s="344" t="s">
        <v>3438</v>
      </c>
      <c r="C747" s="344">
        <v>632</v>
      </c>
      <c r="D747" s="344"/>
      <c r="E747" s="172" t="s">
        <v>435</v>
      </c>
      <c r="F747" s="183" t="s">
        <v>3582</v>
      </c>
      <c r="G747" s="183" t="s">
        <v>3583</v>
      </c>
      <c r="H747" s="184">
        <v>102031031023</v>
      </c>
      <c r="I747" s="185" t="s">
        <v>3584</v>
      </c>
      <c r="J747" s="146" t="s">
        <v>3585</v>
      </c>
      <c r="K747" s="247"/>
      <c r="L747" s="186">
        <v>44545</v>
      </c>
      <c r="M747" s="530">
        <v>3400000</v>
      </c>
    </row>
    <row r="748" spans="1:13" x14ac:dyDescent="0.25">
      <c r="A748" s="344"/>
      <c r="B748" s="344" t="s">
        <v>3542</v>
      </c>
      <c r="C748" s="344">
        <v>633</v>
      </c>
      <c r="D748" s="344"/>
      <c r="E748" s="190" t="s">
        <v>309</v>
      </c>
      <c r="F748" s="183" t="s">
        <v>3371</v>
      </c>
      <c r="G748" s="183" t="s">
        <v>3586</v>
      </c>
      <c r="H748" s="184">
        <v>101251206157</v>
      </c>
      <c r="I748" s="185" t="s">
        <v>3587</v>
      </c>
      <c r="J748" s="146" t="s">
        <v>3588</v>
      </c>
      <c r="K748" s="247"/>
      <c r="L748" s="186">
        <v>44546</v>
      </c>
      <c r="M748" s="530">
        <v>3300000</v>
      </c>
    </row>
    <row r="749" spans="1:13" x14ac:dyDescent="0.25">
      <c r="A749" s="344"/>
      <c r="B749" s="344" t="s">
        <v>2627</v>
      </c>
      <c r="C749" s="344">
        <v>634</v>
      </c>
      <c r="D749" s="344"/>
      <c r="E749" s="190" t="s">
        <v>435</v>
      </c>
      <c r="F749" s="183" t="s">
        <v>3589</v>
      </c>
      <c r="G749" s="183" t="s">
        <v>3590</v>
      </c>
      <c r="H749" s="184">
        <v>101231165847</v>
      </c>
      <c r="I749" s="185" t="s">
        <v>3591</v>
      </c>
      <c r="J749" s="146" t="s">
        <v>3592</v>
      </c>
      <c r="K749" s="247"/>
      <c r="L749" s="186">
        <v>44547</v>
      </c>
      <c r="M749" s="530">
        <v>3700000</v>
      </c>
    </row>
    <row r="750" spans="1:13" x14ac:dyDescent="0.25">
      <c r="A750" s="344"/>
      <c r="B750" s="344" t="s">
        <v>3593</v>
      </c>
      <c r="C750" s="344">
        <v>635</v>
      </c>
      <c r="D750" s="344"/>
      <c r="E750" s="190" t="s">
        <v>309</v>
      </c>
      <c r="F750" s="183" t="s">
        <v>2939</v>
      </c>
      <c r="G750" s="183" t="s">
        <v>2940</v>
      </c>
      <c r="H750" s="184">
        <v>101251127602</v>
      </c>
      <c r="I750" s="185" t="s">
        <v>2941</v>
      </c>
      <c r="J750" s="146" t="s">
        <v>2942</v>
      </c>
      <c r="K750" s="247"/>
      <c r="L750" s="186">
        <v>44548</v>
      </c>
      <c r="M750" s="530">
        <v>4400000</v>
      </c>
    </row>
    <row r="751" spans="1:13" x14ac:dyDescent="0.25">
      <c r="A751" s="344"/>
      <c r="B751" s="344" t="s">
        <v>3594</v>
      </c>
      <c r="C751" s="344">
        <v>636</v>
      </c>
      <c r="D751" s="344"/>
      <c r="E751" s="190" t="s">
        <v>309</v>
      </c>
      <c r="F751" s="183" t="s">
        <v>3595</v>
      </c>
      <c r="G751" s="183" t="s">
        <v>3596</v>
      </c>
      <c r="H751" s="184">
        <v>102231005962</v>
      </c>
      <c r="I751" s="185" t="s">
        <v>3597</v>
      </c>
      <c r="J751" s="146" t="s">
        <v>3598</v>
      </c>
      <c r="K751" s="247"/>
      <c r="L751" s="186">
        <v>44548</v>
      </c>
      <c r="M751" s="530">
        <v>4400000</v>
      </c>
    </row>
    <row r="752" spans="1:13" x14ac:dyDescent="0.25">
      <c r="A752" s="344"/>
      <c r="B752" s="344" t="s">
        <v>3550</v>
      </c>
      <c r="C752" s="344">
        <v>637</v>
      </c>
      <c r="D752" s="344"/>
      <c r="E752" s="190" t="s">
        <v>435</v>
      </c>
      <c r="F752" s="183" t="s">
        <v>3599</v>
      </c>
      <c r="G752" s="183" t="s">
        <v>3600</v>
      </c>
      <c r="H752" s="184">
        <v>101221096673</v>
      </c>
      <c r="I752" s="185" t="s">
        <v>3601</v>
      </c>
      <c r="J752" s="146" t="s">
        <v>3602</v>
      </c>
      <c r="K752" s="247"/>
      <c r="L752" s="186">
        <v>44551</v>
      </c>
      <c r="M752" s="530">
        <v>3740000</v>
      </c>
    </row>
    <row r="753" spans="1:13" x14ac:dyDescent="0.25">
      <c r="A753" s="344"/>
      <c r="B753" s="344" t="s">
        <v>3546</v>
      </c>
      <c r="C753" s="344">
        <v>638</v>
      </c>
      <c r="D753" s="344"/>
      <c r="E753" s="190" t="s">
        <v>435</v>
      </c>
      <c r="F753" s="183" t="s">
        <v>3603</v>
      </c>
      <c r="G753" s="183" t="s">
        <v>3604</v>
      </c>
      <c r="H753" s="184">
        <v>117091000309</v>
      </c>
      <c r="I753" s="185" t="s">
        <v>3605</v>
      </c>
      <c r="J753" s="146" t="s">
        <v>3606</v>
      </c>
      <c r="K753" s="247"/>
      <c r="L753" s="186">
        <v>44552</v>
      </c>
      <c r="M753" s="530">
        <v>4000000</v>
      </c>
    </row>
    <row r="754" spans="1:13" x14ac:dyDescent="0.25">
      <c r="A754" s="344"/>
      <c r="B754" s="344" t="s">
        <v>3547</v>
      </c>
      <c r="C754" s="344">
        <v>639</v>
      </c>
      <c r="D754" s="344"/>
      <c r="E754" s="190" t="s">
        <v>435</v>
      </c>
      <c r="F754" s="183" t="s">
        <v>3607</v>
      </c>
      <c r="G754" s="183" t="s">
        <v>3608</v>
      </c>
      <c r="H754" s="184">
        <v>117031002346</v>
      </c>
      <c r="I754" s="185" t="s">
        <v>3609</v>
      </c>
      <c r="J754" s="146" t="s">
        <v>3610</v>
      </c>
      <c r="K754" s="247"/>
      <c r="L754" s="186">
        <v>44552</v>
      </c>
      <c r="M754" s="530">
        <v>3620000</v>
      </c>
    </row>
    <row r="755" spans="1:13" x14ac:dyDescent="0.25">
      <c r="A755" s="344"/>
      <c r="B755" s="344" t="s">
        <v>3613</v>
      </c>
      <c r="C755" s="344"/>
      <c r="D755" s="344" t="s">
        <v>3614</v>
      </c>
      <c r="E755" s="190" t="s">
        <v>787</v>
      </c>
      <c r="F755" s="183" t="s">
        <v>3615</v>
      </c>
      <c r="G755" s="183" t="s">
        <v>3616</v>
      </c>
      <c r="H755" s="184">
        <v>103071016659</v>
      </c>
      <c r="I755" s="185" t="s">
        <v>3617</v>
      </c>
      <c r="J755" s="146" t="s">
        <v>3618</v>
      </c>
      <c r="K755" s="247"/>
      <c r="L755" s="186">
        <v>44545</v>
      </c>
      <c r="M755" s="530">
        <v>5300000</v>
      </c>
    </row>
    <row r="756" spans="1:13" x14ac:dyDescent="0.25">
      <c r="A756" s="344"/>
      <c r="B756" s="344" t="s">
        <v>3440</v>
      </c>
      <c r="C756" s="344">
        <v>640</v>
      </c>
      <c r="D756" s="344"/>
      <c r="E756" s="190" t="s">
        <v>435</v>
      </c>
      <c r="F756" s="183" t="s">
        <v>1339</v>
      </c>
      <c r="G756" s="183" t="s">
        <v>3619</v>
      </c>
      <c r="H756" s="184">
        <v>114111002425</v>
      </c>
      <c r="I756" s="185" t="s">
        <v>3620</v>
      </c>
      <c r="J756" s="146" t="s">
        <v>3621</v>
      </c>
      <c r="K756" s="247"/>
      <c r="L756" s="186">
        <v>44553</v>
      </c>
      <c r="M756" s="530">
        <v>3450000</v>
      </c>
    </row>
    <row r="757" spans="1:13" x14ac:dyDescent="0.25">
      <c r="A757" s="344"/>
      <c r="B757" s="344" t="s">
        <v>3622</v>
      </c>
      <c r="C757" s="344">
        <v>641</v>
      </c>
      <c r="D757" s="344"/>
      <c r="E757" s="190" t="s">
        <v>309</v>
      </c>
      <c r="F757" s="183" t="s">
        <v>1628</v>
      </c>
      <c r="G757" s="183" t="s">
        <v>1629</v>
      </c>
      <c r="H757" s="184">
        <v>117071021170</v>
      </c>
      <c r="I757" s="185" t="s">
        <v>1630</v>
      </c>
      <c r="J757" s="146" t="s">
        <v>1631</v>
      </c>
      <c r="K757" s="247"/>
      <c r="L757" s="186">
        <v>44554</v>
      </c>
      <c r="M757" s="530">
        <v>4400000</v>
      </c>
    </row>
    <row r="758" spans="1:13" x14ac:dyDescent="0.25">
      <c r="A758" s="344"/>
      <c r="B758" s="344" t="s">
        <v>3543</v>
      </c>
      <c r="C758" s="344">
        <v>642</v>
      </c>
      <c r="D758" s="344"/>
      <c r="E758" s="190" t="s">
        <v>309</v>
      </c>
      <c r="F758" s="183" t="s">
        <v>3120</v>
      </c>
      <c r="G758" s="183" t="s">
        <v>3623</v>
      </c>
      <c r="H758" s="184">
        <v>101221122625</v>
      </c>
      <c r="I758" s="185" t="s">
        <v>3624</v>
      </c>
      <c r="J758" s="146" t="s">
        <v>3625</v>
      </c>
      <c r="K758" s="247"/>
      <c r="L758" s="186">
        <v>44554</v>
      </c>
      <c r="M758" s="530">
        <v>3300000</v>
      </c>
    </row>
    <row r="759" spans="1:13" x14ac:dyDescent="0.25">
      <c r="A759" s="344"/>
      <c r="B759" s="344" t="s">
        <v>3538</v>
      </c>
      <c r="C759" s="344">
        <v>643</v>
      </c>
      <c r="D759" s="344"/>
      <c r="E759" s="190" t="s">
        <v>309</v>
      </c>
      <c r="F759" s="183" t="s">
        <v>3626</v>
      </c>
      <c r="G759" s="183" t="s">
        <v>3456</v>
      </c>
      <c r="H759" s="184">
        <v>101252189858</v>
      </c>
      <c r="I759" s="185" t="s">
        <v>3627</v>
      </c>
      <c r="J759" s="146" t="s">
        <v>3628</v>
      </c>
      <c r="K759" s="247"/>
      <c r="L759" s="186">
        <v>44558</v>
      </c>
      <c r="M759" s="530">
        <v>3220000</v>
      </c>
    </row>
    <row r="760" spans="1:13" x14ac:dyDescent="0.25">
      <c r="A760" s="344"/>
      <c r="B760" s="344" t="s">
        <v>3548</v>
      </c>
      <c r="C760" s="344">
        <v>644</v>
      </c>
      <c r="D760" s="344"/>
      <c r="E760" s="190" t="s">
        <v>435</v>
      </c>
      <c r="F760" s="183" t="s">
        <v>1343</v>
      </c>
      <c r="G760" s="183" t="s">
        <v>3629</v>
      </c>
      <c r="H760" s="184">
        <v>105131004614</v>
      </c>
      <c r="I760" s="185" t="s">
        <v>3630</v>
      </c>
      <c r="J760" s="146" t="s">
        <v>3631</v>
      </c>
      <c r="K760" s="247"/>
      <c r="L760" s="186">
        <v>44558</v>
      </c>
      <c r="M760" s="530">
        <v>3800000</v>
      </c>
    </row>
    <row r="761" spans="1:13" x14ac:dyDescent="0.25">
      <c r="A761" s="344"/>
      <c r="B761" s="344" t="s">
        <v>3632</v>
      </c>
      <c r="C761" s="344">
        <v>645</v>
      </c>
      <c r="D761" s="344"/>
      <c r="E761" s="190" t="s">
        <v>309</v>
      </c>
      <c r="F761" s="183" t="s">
        <v>3633</v>
      </c>
      <c r="G761" s="183" t="s">
        <v>3634</v>
      </c>
      <c r="H761" s="184">
        <v>101251132061</v>
      </c>
      <c r="I761" s="185" t="s">
        <v>3635</v>
      </c>
      <c r="J761" s="146" t="s">
        <v>3636</v>
      </c>
      <c r="K761" s="247"/>
      <c r="L761" s="186">
        <v>44560</v>
      </c>
      <c r="M761" s="530">
        <v>3500000</v>
      </c>
    </row>
    <row r="762" spans="1:13" x14ac:dyDescent="0.25">
      <c r="A762" s="344"/>
      <c r="B762" s="344" t="s">
        <v>3637</v>
      </c>
      <c r="C762" s="344">
        <v>646</v>
      </c>
      <c r="D762" s="344"/>
      <c r="E762" s="190" t="s">
        <v>777</v>
      </c>
      <c r="F762" s="183" t="s">
        <v>1111</v>
      </c>
      <c r="G762" s="183" t="s">
        <v>3638</v>
      </c>
      <c r="H762" s="184">
        <v>101241181888</v>
      </c>
      <c r="I762" s="185" t="s">
        <v>3639</v>
      </c>
      <c r="J762" s="146" t="s">
        <v>3640</v>
      </c>
      <c r="K762" s="247"/>
      <c r="L762" s="186">
        <v>44567</v>
      </c>
      <c r="M762" s="530">
        <v>1450000</v>
      </c>
    </row>
    <row r="763" spans="1:13" x14ac:dyDescent="0.25">
      <c r="A763" s="344"/>
      <c r="B763" s="344" t="s">
        <v>3549</v>
      </c>
      <c r="C763" s="344">
        <v>647</v>
      </c>
      <c r="D763" s="344"/>
      <c r="E763" s="190" t="s">
        <v>435</v>
      </c>
      <c r="F763" s="183" t="s">
        <v>3641</v>
      </c>
      <c r="G763" s="183" t="s">
        <v>3642</v>
      </c>
      <c r="H763" s="184">
        <v>312071024076</v>
      </c>
      <c r="I763" s="185" t="s">
        <v>3643</v>
      </c>
      <c r="J763" s="146" t="s">
        <v>3644</v>
      </c>
      <c r="K763" s="247"/>
      <c r="L763" s="186">
        <v>44568</v>
      </c>
      <c r="M763" s="530">
        <v>3700000</v>
      </c>
    </row>
    <row r="764" spans="1:13" x14ac:dyDescent="0.25">
      <c r="A764" s="344"/>
      <c r="B764" s="344" t="s">
        <v>3435</v>
      </c>
      <c r="C764" s="344">
        <v>648</v>
      </c>
      <c r="D764" s="344"/>
      <c r="E764" s="190" t="s">
        <v>435</v>
      </c>
      <c r="F764" s="183" t="s">
        <v>3663</v>
      </c>
      <c r="G764" s="183" t="s">
        <v>3664</v>
      </c>
      <c r="H764" s="184">
        <v>101211214331</v>
      </c>
      <c r="I764" s="185" t="s">
        <v>3665</v>
      </c>
      <c r="J764" s="146" t="s">
        <v>3666</v>
      </c>
      <c r="K764" s="247"/>
      <c r="L764" s="186">
        <v>44750</v>
      </c>
      <c r="M764" s="530">
        <v>3800000</v>
      </c>
    </row>
    <row r="765" spans="1:13" x14ac:dyDescent="0.25">
      <c r="A765" s="344"/>
      <c r="B765" s="344" t="s">
        <v>3299</v>
      </c>
      <c r="C765" s="344">
        <v>649</v>
      </c>
      <c r="D765" s="344"/>
      <c r="E765" s="190" t="s">
        <v>732</v>
      </c>
      <c r="F765" s="183" t="s">
        <v>3205</v>
      </c>
      <c r="G765" s="183" t="s">
        <v>3667</v>
      </c>
      <c r="H765" s="184">
        <v>101212177416</v>
      </c>
      <c r="I765" s="185" t="s">
        <v>3668</v>
      </c>
      <c r="J765" s="146" t="s">
        <v>3669</v>
      </c>
      <c r="K765" s="247"/>
      <c r="L765" s="186">
        <v>44574</v>
      </c>
      <c r="M765" s="530">
        <v>4500000</v>
      </c>
    </row>
    <row r="766" spans="1:13" x14ac:dyDescent="0.25">
      <c r="A766" s="344"/>
      <c r="B766" s="344" t="s">
        <v>3670</v>
      </c>
      <c r="C766" s="344">
        <v>650</v>
      </c>
      <c r="D766" s="344"/>
      <c r="E766" s="190" t="s">
        <v>732</v>
      </c>
      <c r="F766" s="183" t="s">
        <v>3671</v>
      </c>
      <c r="G766" s="183" t="s">
        <v>3672</v>
      </c>
      <c r="H766" s="184">
        <v>401031054006</v>
      </c>
      <c r="I766" s="185" t="s">
        <v>3673</v>
      </c>
      <c r="J766" s="146" t="s">
        <v>3674</v>
      </c>
      <c r="K766" s="247"/>
      <c r="L766" s="186">
        <v>44574</v>
      </c>
      <c r="M766" s="530">
        <v>2400000</v>
      </c>
    </row>
    <row r="767" spans="1:13" x14ac:dyDescent="0.25">
      <c r="A767" s="344"/>
      <c r="B767" s="344" t="s">
        <v>844</v>
      </c>
      <c r="C767" s="344">
        <v>651</v>
      </c>
      <c r="D767" s="344"/>
      <c r="E767" s="190" t="s">
        <v>435</v>
      </c>
      <c r="F767" s="183" t="s">
        <v>3675</v>
      </c>
      <c r="G767" s="183" t="s">
        <v>3676</v>
      </c>
      <c r="H767" s="184">
        <v>117311009575</v>
      </c>
      <c r="I767" s="185" t="s">
        <v>3677</v>
      </c>
      <c r="J767" s="146" t="s">
        <v>3678</v>
      </c>
      <c r="K767" s="247"/>
      <c r="L767" s="186">
        <v>44576</v>
      </c>
      <c r="M767" s="530">
        <v>3700000</v>
      </c>
    </row>
    <row r="768" spans="1:13" x14ac:dyDescent="0.25">
      <c r="A768" s="344"/>
      <c r="B768" s="344" t="s">
        <v>2344</v>
      </c>
      <c r="C768" s="344">
        <v>652</v>
      </c>
      <c r="D768" s="344"/>
      <c r="E768" s="190" t="s">
        <v>435</v>
      </c>
      <c r="F768" s="183" t="s">
        <v>3679</v>
      </c>
      <c r="G768" s="183" t="s">
        <v>3680</v>
      </c>
      <c r="H768" s="184">
        <v>101251214761</v>
      </c>
      <c r="I768" s="185" t="s">
        <v>3681</v>
      </c>
      <c r="J768" s="146" t="s">
        <v>3682</v>
      </c>
      <c r="K768" s="247"/>
      <c r="L768" s="186">
        <v>44578</v>
      </c>
      <c r="M768" s="530">
        <v>4000000</v>
      </c>
    </row>
    <row r="769" spans="1:13" x14ac:dyDescent="0.25">
      <c r="A769" s="344"/>
      <c r="B769" s="344" t="s">
        <v>3683</v>
      </c>
      <c r="C769" s="344">
        <v>653</v>
      </c>
      <c r="D769" s="344"/>
      <c r="E769" s="190" t="s">
        <v>3684</v>
      </c>
      <c r="F769" s="183" t="s">
        <v>3685</v>
      </c>
      <c r="G769" s="183" t="s">
        <v>3686</v>
      </c>
      <c r="H769" s="184">
        <v>105131032309</v>
      </c>
      <c r="I769" s="185" t="s">
        <v>3687</v>
      </c>
      <c r="J769" s="146" t="s">
        <v>3688</v>
      </c>
      <c r="K769" s="247"/>
      <c r="L769" s="186">
        <v>44580</v>
      </c>
      <c r="M769" s="530">
        <v>7000000</v>
      </c>
    </row>
    <row r="770" spans="1:13" x14ac:dyDescent="0.25">
      <c r="A770" s="344"/>
      <c r="B770" s="344" t="s">
        <v>3689</v>
      </c>
      <c r="C770" s="344">
        <v>654</v>
      </c>
      <c r="D770" s="344"/>
      <c r="E770" s="190" t="s">
        <v>777</v>
      </c>
      <c r="F770" s="183" t="s">
        <v>2445</v>
      </c>
      <c r="G770" s="183" t="s">
        <v>3690</v>
      </c>
      <c r="H770" s="184">
        <v>117071024104</v>
      </c>
      <c r="I770" s="185" t="s">
        <v>3691</v>
      </c>
      <c r="J770" s="146" t="s">
        <v>3692</v>
      </c>
      <c r="K770" s="247"/>
      <c r="L770" s="186">
        <v>44581</v>
      </c>
      <c r="M770" s="530">
        <v>1500000</v>
      </c>
    </row>
    <row r="771" spans="1:13" x14ac:dyDescent="0.25">
      <c r="A771" s="344"/>
      <c r="B771" s="344" t="s">
        <v>3541</v>
      </c>
      <c r="C771" s="344">
        <v>655</v>
      </c>
      <c r="D771" s="344"/>
      <c r="E771" s="190" t="s">
        <v>435</v>
      </c>
      <c r="F771" s="183" t="s">
        <v>3693</v>
      </c>
      <c r="G771" s="183" t="s">
        <v>3694</v>
      </c>
      <c r="H771" s="184">
        <v>312071011885</v>
      </c>
      <c r="I771" s="185" t="s">
        <v>3695</v>
      </c>
      <c r="J771" s="146" t="s">
        <v>3696</v>
      </c>
      <c r="K771" s="247"/>
      <c r="L771" s="186">
        <v>44582</v>
      </c>
      <c r="M771" s="530">
        <v>3100000</v>
      </c>
    </row>
    <row r="772" spans="1:13" x14ac:dyDescent="0.25">
      <c r="A772" s="344"/>
      <c r="B772" s="344" t="s">
        <v>3697</v>
      </c>
      <c r="C772" s="344">
        <v>656</v>
      </c>
      <c r="D772" s="344"/>
      <c r="E772" s="190" t="s">
        <v>87</v>
      </c>
      <c r="F772" s="183" t="s">
        <v>3698</v>
      </c>
      <c r="G772" s="183" t="s">
        <v>3699</v>
      </c>
      <c r="H772" s="184">
        <v>117191016089</v>
      </c>
      <c r="I772" s="185" t="s">
        <v>3700</v>
      </c>
      <c r="J772" s="146" t="s">
        <v>3701</v>
      </c>
      <c r="K772" s="247"/>
      <c r="L772" s="186">
        <v>44583</v>
      </c>
      <c r="M772" s="530">
        <v>3000000</v>
      </c>
    </row>
    <row r="773" spans="1:13" x14ac:dyDescent="0.25">
      <c r="A773" s="344"/>
      <c r="B773" s="344" t="s">
        <v>3655</v>
      </c>
      <c r="C773" s="344">
        <v>657</v>
      </c>
      <c r="D773" s="344"/>
      <c r="E773" s="190" t="s">
        <v>435</v>
      </c>
      <c r="F773" s="183" t="s">
        <v>3704</v>
      </c>
      <c r="G773" s="183" t="s">
        <v>3705</v>
      </c>
      <c r="H773" s="184">
        <v>102091011695</v>
      </c>
      <c r="I773" s="185" t="s">
        <v>3706</v>
      </c>
      <c r="J773" s="146" t="s">
        <v>3707</v>
      </c>
      <c r="K773" s="247"/>
      <c r="L773" s="186">
        <v>44586</v>
      </c>
      <c r="M773" s="530">
        <v>3400000</v>
      </c>
    </row>
    <row r="774" spans="1:13" x14ac:dyDescent="0.25">
      <c r="A774" s="344"/>
      <c r="B774" s="344" t="s">
        <v>3703</v>
      </c>
      <c r="C774" s="344">
        <v>658</v>
      </c>
      <c r="D774" s="344"/>
      <c r="E774" s="190" t="s">
        <v>435</v>
      </c>
      <c r="F774" s="183" t="s">
        <v>3704</v>
      </c>
      <c r="G774" s="183" t="s">
        <v>3708</v>
      </c>
      <c r="H774" s="184">
        <v>102091008444</v>
      </c>
      <c r="I774" s="185" t="s">
        <v>3706</v>
      </c>
      <c r="J774" s="146" t="s">
        <v>3709</v>
      </c>
      <c r="K774" s="247"/>
      <c r="L774" s="186">
        <v>44586</v>
      </c>
      <c r="M774" s="530">
        <v>3700000</v>
      </c>
    </row>
    <row r="775" spans="1:13" x14ac:dyDescent="0.25">
      <c r="A775" s="344"/>
      <c r="B775" s="344" t="s">
        <v>3710</v>
      </c>
      <c r="C775" s="344">
        <v>659</v>
      </c>
      <c r="D775" s="344"/>
      <c r="E775" s="190" t="s">
        <v>224</v>
      </c>
      <c r="F775" s="183" t="s">
        <v>3711</v>
      </c>
      <c r="G775" s="183" t="s">
        <v>3712</v>
      </c>
      <c r="H775" s="184">
        <v>101251151412</v>
      </c>
      <c r="I775" s="185" t="s">
        <v>3713</v>
      </c>
      <c r="J775" s="146" t="s">
        <v>3714</v>
      </c>
      <c r="K775" s="247"/>
      <c r="L775" s="186">
        <v>44587</v>
      </c>
      <c r="M775" s="530">
        <v>2400000</v>
      </c>
    </row>
    <row r="776" spans="1:13" x14ac:dyDescent="0.25">
      <c r="A776" s="344"/>
      <c r="B776" s="344" t="s">
        <v>3662</v>
      </c>
      <c r="C776" s="344">
        <v>660</v>
      </c>
      <c r="D776" s="344"/>
      <c r="E776" s="190" t="s">
        <v>87</v>
      </c>
      <c r="F776" s="183" t="s">
        <v>3715</v>
      </c>
      <c r="G776" s="183" t="s">
        <v>3716</v>
      </c>
      <c r="H776" s="184">
        <v>102072028645</v>
      </c>
      <c r="I776" s="185" t="s">
        <v>3717</v>
      </c>
      <c r="J776" s="146" t="s">
        <v>3718</v>
      </c>
      <c r="K776" s="247"/>
      <c r="L776" s="186">
        <v>44587</v>
      </c>
      <c r="M776" s="530">
        <v>2880000</v>
      </c>
    </row>
    <row r="777" spans="1:13" x14ac:dyDescent="0.25">
      <c r="A777" s="344"/>
      <c r="B777" s="344" t="s">
        <v>3659</v>
      </c>
      <c r="C777" s="344">
        <v>661</v>
      </c>
      <c r="D777" s="344"/>
      <c r="E777" s="190" t="s">
        <v>4685</v>
      </c>
      <c r="F777" s="183" t="s">
        <v>3518</v>
      </c>
      <c r="G777" s="183" t="s">
        <v>3719</v>
      </c>
      <c r="H777" s="184">
        <v>101211661238</v>
      </c>
      <c r="I777" s="185" t="s">
        <v>3720</v>
      </c>
      <c r="J777" s="146" t="s">
        <v>3721</v>
      </c>
      <c r="K777" s="247"/>
      <c r="L777" s="186">
        <v>44587</v>
      </c>
      <c r="M777" s="530">
        <v>2900000</v>
      </c>
    </row>
    <row r="778" spans="1:13" x14ac:dyDescent="0.25">
      <c r="A778" s="344"/>
      <c r="B778" s="344" t="s">
        <v>3702</v>
      </c>
      <c r="C778" s="344">
        <v>662</v>
      </c>
      <c r="D778" s="344"/>
      <c r="E778" s="190" t="s">
        <v>87</v>
      </c>
      <c r="F778" s="183" t="s">
        <v>2309</v>
      </c>
      <c r="G778" s="183" t="s">
        <v>2310</v>
      </c>
      <c r="H778" s="184">
        <v>117071015204</v>
      </c>
      <c r="I778" s="185" t="s">
        <v>3722</v>
      </c>
      <c r="J778" s="146" t="s">
        <v>2312</v>
      </c>
      <c r="K778" s="247"/>
      <c r="L778" s="186">
        <v>44588</v>
      </c>
      <c r="M778" s="530">
        <v>3100000</v>
      </c>
    </row>
    <row r="779" spans="1:13" x14ac:dyDescent="0.25">
      <c r="A779" s="344"/>
      <c r="B779" s="344" t="s">
        <v>1667</v>
      </c>
      <c r="C779" s="344">
        <v>663</v>
      </c>
      <c r="D779" s="344"/>
      <c r="E779" s="190" t="s">
        <v>435</v>
      </c>
      <c r="F779" s="183" t="s">
        <v>3723</v>
      </c>
      <c r="G779" s="183" t="s">
        <v>3724</v>
      </c>
      <c r="H779" s="184">
        <v>101251179162</v>
      </c>
      <c r="I779" s="185" t="s">
        <v>3725</v>
      </c>
      <c r="J779" s="146" t="s">
        <v>3726</v>
      </c>
      <c r="K779" s="247"/>
      <c r="L779" s="186">
        <v>44588</v>
      </c>
      <c r="M779" s="530">
        <v>3300000</v>
      </c>
    </row>
    <row r="780" spans="1:13" x14ac:dyDescent="0.25">
      <c r="A780" s="344"/>
      <c r="B780" s="344" t="s">
        <v>3658</v>
      </c>
      <c r="C780" s="344">
        <v>664</v>
      </c>
      <c r="D780" s="344"/>
      <c r="E780" s="190" t="s">
        <v>87</v>
      </c>
      <c r="F780" s="183" t="s">
        <v>3727</v>
      </c>
      <c r="G780" s="183" t="s">
        <v>3728</v>
      </c>
      <c r="H780" s="184">
        <v>101211100754</v>
      </c>
      <c r="I780" s="185" t="s">
        <v>3729</v>
      </c>
      <c r="J780" s="146" t="s">
        <v>3730</v>
      </c>
      <c r="K780" s="247"/>
      <c r="L780" s="186">
        <v>44588</v>
      </c>
      <c r="M780" s="530">
        <v>3000000</v>
      </c>
    </row>
    <row r="781" spans="1:13" x14ac:dyDescent="0.25">
      <c r="A781" s="344"/>
      <c r="B781" s="344" t="s">
        <v>3740</v>
      </c>
      <c r="C781" s="344">
        <v>665</v>
      </c>
      <c r="D781" s="344"/>
      <c r="E781" s="190" t="s">
        <v>435</v>
      </c>
      <c r="F781" s="183" t="s">
        <v>3741</v>
      </c>
      <c r="G781" s="183" t="s">
        <v>3742</v>
      </c>
      <c r="H781" s="184">
        <v>101221072252</v>
      </c>
      <c r="I781" s="185" t="s">
        <v>3743</v>
      </c>
      <c r="J781" s="146" t="s">
        <v>3744</v>
      </c>
      <c r="K781" s="247"/>
      <c r="L781" s="186">
        <v>44589</v>
      </c>
      <c r="M781" s="530">
        <v>3400000</v>
      </c>
    </row>
    <row r="782" spans="1:13" x14ac:dyDescent="0.25">
      <c r="A782" s="344"/>
      <c r="B782" s="344" t="s">
        <v>3745</v>
      </c>
      <c r="C782" s="344">
        <v>666</v>
      </c>
      <c r="D782" s="344"/>
      <c r="E782" s="190" t="s">
        <v>309</v>
      </c>
      <c r="F782" s="183" t="s">
        <v>1924</v>
      </c>
      <c r="G782" s="183" t="s">
        <v>1925</v>
      </c>
      <c r="H782" s="184">
        <v>715031020339</v>
      </c>
      <c r="I782" s="185" t="s">
        <v>3746</v>
      </c>
      <c r="J782" s="146" t="s">
        <v>1927</v>
      </c>
      <c r="K782" s="247"/>
      <c r="L782" s="186">
        <v>44590</v>
      </c>
      <c r="M782" s="530">
        <v>4400000</v>
      </c>
    </row>
    <row r="783" spans="1:13" x14ac:dyDescent="0.25">
      <c r="A783" s="344"/>
      <c r="B783" s="344" t="s">
        <v>3654</v>
      </c>
      <c r="C783" s="344">
        <v>667</v>
      </c>
      <c r="D783" s="344"/>
      <c r="E783" s="190" t="s">
        <v>435</v>
      </c>
      <c r="F783" s="183" t="s">
        <v>3747</v>
      </c>
      <c r="G783" s="183" t="s">
        <v>3748</v>
      </c>
      <c r="H783" s="184">
        <v>102031033783</v>
      </c>
      <c r="I783" s="185" t="s">
        <v>3749</v>
      </c>
      <c r="J783" s="146" t="s">
        <v>3750</v>
      </c>
      <c r="K783" s="247"/>
      <c r="L783" s="186">
        <v>44590</v>
      </c>
      <c r="M783" s="530">
        <v>3400000</v>
      </c>
    </row>
    <row r="784" spans="1:13" x14ac:dyDescent="0.25">
      <c r="A784" s="344"/>
      <c r="B784" s="344" t="s">
        <v>3365</v>
      </c>
      <c r="C784" s="344">
        <v>668</v>
      </c>
      <c r="D784" s="344"/>
      <c r="E784" s="190" t="s">
        <v>87</v>
      </c>
      <c r="F784" s="183" t="s">
        <v>3751</v>
      </c>
      <c r="G784" s="183" t="s">
        <v>3752</v>
      </c>
      <c r="H784" s="184">
        <v>501071023803</v>
      </c>
      <c r="I784" s="185" t="s">
        <v>3753</v>
      </c>
      <c r="J784" s="146" t="s">
        <v>3754</v>
      </c>
      <c r="K784" s="247"/>
      <c r="L784" s="186">
        <v>44593</v>
      </c>
      <c r="M784" s="530">
        <v>2700000</v>
      </c>
    </row>
    <row r="785" spans="1:48" x14ac:dyDescent="0.25">
      <c r="A785" s="344"/>
      <c r="B785" s="344" t="s">
        <v>3755</v>
      </c>
      <c r="C785" s="344">
        <v>669</v>
      </c>
      <c r="D785" s="344"/>
      <c r="E785" s="190" t="s">
        <v>435</v>
      </c>
      <c r="F785" s="183" t="s">
        <v>3756</v>
      </c>
      <c r="G785" s="183" t="s">
        <v>3757</v>
      </c>
      <c r="H785" s="184">
        <v>102311006763</v>
      </c>
      <c r="I785" s="185" t="s">
        <v>1389</v>
      </c>
      <c r="J785" s="146" t="s">
        <v>3758</v>
      </c>
      <c r="K785" s="247"/>
      <c r="L785" s="400">
        <v>44593</v>
      </c>
      <c r="M785" s="530">
        <v>3450000</v>
      </c>
    </row>
    <row r="786" spans="1:48" x14ac:dyDescent="0.25">
      <c r="A786" s="631"/>
      <c r="B786" s="631" t="s">
        <v>3539</v>
      </c>
      <c r="C786" s="631">
        <v>670</v>
      </c>
      <c r="D786" s="631"/>
      <c r="E786" s="632" t="s">
        <v>309</v>
      </c>
      <c r="F786" s="633" t="s">
        <v>1215</v>
      </c>
      <c r="G786" s="633" t="s">
        <v>3576</v>
      </c>
      <c r="H786" s="634">
        <v>101252158754</v>
      </c>
      <c r="I786" s="635" t="s">
        <v>3759</v>
      </c>
      <c r="J786" s="427" t="s">
        <v>3578</v>
      </c>
      <c r="K786" s="636"/>
      <c r="L786" s="637">
        <v>44593</v>
      </c>
      <c r="M786" s="530">
        <v>3100000</v>
      </c>
    </row>
    <row r="787" spans="1:48" s="158" customFormat="1" x14ac:dyDescent="0.25">
      <c r="A787" s="344"/>
      <c r="B787" s="344" t="s">
        <v>3656</v>
      </c>
      <c r="C787" s="344" t="s">
        <v>3760</v>
      </c>
      <c r="D787" s="344"/>
      <c r="E787" s="190" t="s">
        <v>435</v>
      </c>
      <c r="F787" s="183" t="s">
        <v>3761</v>
      </c>
      <c r="G787" s="183" t="s">
        <v>3762</v>
      </c>
      <c r="H787" s="184">
        <v>108112010158</v>
      </c>
      <c r="I787" s="185" t="s">
        <v>3763</v>
      </c>
      <c r="J787" s="146" t="s">
        <v>3764</v>
      </c>
      <c r="K787" s="247"/>
      <c r="L787" s="400">
        <v>44595</v>
      </c>
      <c r="M787" s="530">
        <v>3400000</v>
      </c>
      <c r="N787" s="213"/>
      <c r="O787" s="213"/>
      <c r="P787" s="213"/>
      <c r="Q787" s="213"/>
      <c r="R787" s="213"/>
      <c r="S787" s="213"/>
      <c r="T787" s="213"/>
      <c r="U787" s="213"/>
      <c r="V787" s="213"/>
    </row>
    <row r="788" spans="1:48" s="158" customFormat="1" x14ac:dyDescent="0.25">
      <c r="A788" s="344"/>
      <c r="B788" s="344" t="s">
        <v>3765</v>
      </c>
      <c r="C788" s="344">
        <v>671</v>
      </c>
      <c r="D788" s="344"/>
      <c r="E788" s="190" t="s">
        <v>936</v>
      </c>
      <c r="F788" s="183" t="s">
        <v>3761</v>
      </c>
      <c r="G788" s="183" t="s">
        <v>3762</v>
      </c>
      <c r="H788" s="184">
        <v>108112010158</v>
      </c>
      <c r="I788" s="185" t="s">
        <v>3763</v>
      </c>
      <c r="J788" s="146" t="s">
        <v>3764</v>
      </c>
      <c r="K788" s="247"/>
      <c r="L788" s="400">
        <v>44595</v>
      </c>
      <c r="M788" s="530">
        <v>6600000</v>
      </c>
      <c r="N788" s="213"/>
      <c r="O788" s="213"/>
      <c r="P788" s="213"/>
      <c r="Q788" s="213"/>
      <c r="R788" s="213"/>
      <c r="S788" s="213"/>
      <c r="T788" s="213"/>
      <c r="U788" s="213"/>
      <c r="V788" s="213"/>
    </row>
    <row r="789" spans="1:48" s="158" customFormat="1" x14ac:dyDescent="0.25">
      <c r="A789" s="344"/>
      <c r="B789" s="344" t="s">
        <v>3734</v>
      </c>
      <c r="C789" s="344">
        <v>672</v>
      </c>
      <c r="D789" s="344"/>
      <c r="E789" s="190" t="s">
        <v>87</v>
      </c>
      <c r="F789" s="183" t="s">
        <v>3766</v>
      </c>
      <c r="G789" s="183" t="s">
        <v>3767</v>
      </c>
      <c r="H789" s="184">
        <v>111032010075</v>
      </c>
      <c r="I789" s="185" t="s">
        <v>3768</v>
      </c>
      <c r="J789" s="146" t="s">
        <v>3769</v>
      </c>
      <c r="K789" s="247"/>
      <c r="L789" s="400">
        <v>44595</v>
      </c>
      <c r="M789" s="530">
        <v>2700000</v>
      </c>
      <c r="N789" s="213"/>
      <c r="O789" s="213"/>
      <c r="P789" s="213"/>
      <c r="Q789" s="213"/>
      <c r="R789" s="213"/>
      <c r="S789" s="213"/>
      <c r="T789" s="213"/>
      <c r="U789" s="213"/>
      <c r="V789" s="213"/>
    </row>
    <row r="790" spans="1:48" s="158" customFormat="1" x14ac:dyDescent="0.25">
      <c r="A790" s="344"/>
      <c r="B790" s="344" t="s">
        <v>3770</v>
      </c>
      <c r="C790" s="344">
        <v>673</v>
      </c>
      <c r="D790" s="344"/>
      <c r="E790" s="190" t="s">
        <v>732</v>
      </c>
      <c r="F790" s="183" t="s">
        <v>3771</v>
      </c>
      <c r="G790" s="183" t="s">
        <v>3772</v>
      </c>
      <c r="H790" s="184">
        <v>101241156839</v>
      </c>
      <c r="I790" s="184" t="s">
        <v>3773</v>
      </c>
      <c r="J790" s="146" t="s">
        <v>3774</v>
      </c>
      <c r="K790" s="247"/>
      <c r="L790" s="400">
        <v>44595</v>
      </c>
      <c r="M790" s="530">
        <v>2900000</v>
      </c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</row>
    <row r="791" spans="1:48" s="158" customFormat="1" x14ac:dyDescent="0.25">
      <c r="A791" s="344"/>
      <c r="B791" s="344" t="s">
        <v>3652</v>
      </c>
      <c r="C791" s="344">
        <v>674</v>
      </c>
      <c r="D791" s="344"/>
      <c r="E791" s="190" t="s">
        <v>435</v>
      </c>
      <c r="F791" s="183" t="s">
        <v>1973</v>
      </c>
      <c r="G791" s="183" t="s">
        <v>3775</v>
      </c>
      <c r="H791" s="184">
        <v>110271006244</v>
      </c>
      <c r="I791" s="185" t="s">
        <v>3776</v>
      </c>
      <c r="J791" s="146" t="s">
        <v>3777</v>
      </c>
      <c r="K791" s="247"/>
      <c r="L791" s="400">
        <v>44595</v>
      </c>
      <c r="M791" s="530">
        <v>3500000</v>
      </c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</row>
    <row r="792" spans="1:48" s="158" customFormat="1" x14ac:dyDescent="0.25">
      <c r="A792" s="344"/>
      <c r="B792" s="344" t="s">
        <v>3778</v>
      </c>
      <c r="C792" s="344">
        <v>675</v>
      </c>
      <c r="D792" s="344"/>
      <c r="E792" s="190" t="s">
        <v>936</v>
      </c>
      <c r="F792" s="183" t="s">
        <v>3452</v>
      </c>
      <c r="G792" s="183" t="s">
        <v>3453</v>
      </c>
      <c r="H792" s="184">
        <v>310011022050</v>
      </c>
      <c r="I792" s="185" t="s">
        <v>1447</v>
      </c>
      <c r="J792" s="146" t="s">
        <v>3779</v>
      </c>
      <c r="K792" s="247"/>
      <c r="L792" s="400">
        <v>44599</v>
      </c>
      <c r="M792" s="530">
        <v>6500000</v>
      </c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</row>
    <row r="793" spans="1:48" s="158" customFormat="1" x14ac:dyDescent="0.25">
      <c r="A793" s="344"/>
      <c r="B793" s="344" t="s">
        <v>3648</v>
      </c>
      <c r="C793" s="344">
        <v>676</v>
      </c>
      <c r="D793" s="344"/>
      <c r="E793" s="190" t="s">
        <v>87</v>
      </c>
      <c r="F793" s="183" t="s">
        <v>3780</v>
      </c>
      <c r="G793" s="183" t="s">
        <v>3781</v>
      </c>
      <c r="H793" s="184">
        <v>220291015293</v>
      </c>
      <c r="I793" s="185" t="s">
        <v>3782</v>
      </c>
      <c r="J793" s="146" t="s">
        <v>3783</v>
      </c>
      <c r="K793" s="247"/>
      <c r="L793" s="400">
        <v>44600</v>
      </c>
      <c r="M793" s="530">
        <v>3000000</v>
      </c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</row>
    <row r="794" spans="1:48" s="158" customFormat="1" x14ac:dyDescent="0.25">
      <c r="A794" s="344"/>
      <c r="B794" s="344" t="s">
        <v>3784</v>
      </c>
      <c r="C794" s="344">
        <v>677</v>
      </c>
      <c r="D794" s="344"/>
      <c r="E794" s="190" t="s">
        <v>435</v>
      </c>
      <c r="F794" s="183" t="s">
        <v>3785</v>
      </c>
      <c r="G794" s="183" t="s">
        <v>3786</v>
      </c>
      <c r="H794" s="184">
        <v>102211000930</v>
      </c>
      <c r="I794" s="185" t="s">
        <v>3787</v>
      </c>
      <c r="J794" s="146" t="s">
        <v>3788</v>
      </c>
      <c r="K794" s="247"/>
      <c r="L794" s="400">
        <v>44604</v>
      </c>
      <c r="M794" s="530">
        <v>4000000</v>
      </c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</row>
    <row r="795" spans="1:48" s="158" customFormat="1" x14ac:dyDescent="0.25">
      <c r="A795" s="344"/>
      <c r="B795" s="344" t="s">
        <v>3789</v>
      </c>
      <c r="C795" s="344">
        <v>678</v>
      </c>
      <c r="D795" s="344"/>
      <c r="E795" s="190" t="s">
        <v>435</v>
      </c>
      <c r="F795" s="183" t="s">
        <v>3790</v>
      </c>
      <c r="G795" s="183" t="s">
        <v>3791</v>
      </c>
      <c r="H795" s="184">
        <v>101211204569</v>
      </c>
      <c r="I795" s="185" t="s">
        <v>3792</v>
      </c>
      <c r="J795" s="146" t="s">
        <v>3793</v>
      </c>
      <c r="K795" s="247"/>
      <c r="L795" s="400">
        <v>44600</v>
      </c>
      <c r="M795" s="530">
        <v>3200000</v>
      </c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</row>
    <row r="796" spans="1:48" s="158" customFormat="1" x14ac:dyDescent="0.25">
      <c r="A796" s="344"/>
      <c r="B796" s="344" t="s">
        <v>3299</v>
      </c>
      <c r="C796" s="344">
        <v>679</v>
      </c>
      <c r="D796" s="344"/>
      <c r="E796" s="190" t="s">
        <v>732</v>
      </c>
      <c r="F796" s="183" t="s">
        <v>1474</v>
      </c>
      <c r="G796" s="183" t="s">
        <v>3794</v>
      </c>
      <c r="H796" s="184">
        <v>101251149252</v>
      </c>
      <c r="I796" s="185" t="s">
        <v>3795</v>
      </c>
      <c r="J796" s="146" t="s">
        <v>3796</v>
      </c>
      <c r="K796" s="247"/>
      <c r="L796" s="400">
        <v>44601</v>
      </c>
      <c r="M796" s="530">
        <v>3400000</v>
      </c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AU796" s="13"/>
      <c r="AV796" s="13"/>
    </row>
    <row r="797" spans="1:48" s="158" customFormat="1" x14ac:dyDescent="0.25">
      <c r="A797" s="344"/>
      <c r="B797" s="344" t="s">
        <v>213</v>
      </c>
      <c r="C797" s="344">
        <v>680</v>
      </c>
      <c r="D797" s="344"/>
      <c r="E797" s="190" t="s">
        <v>87</v>
      </c>
      <c r="F797" s="183" t="s">
        <v>3797</v>
      </c>
      <c r="G797" s="183" t="s">
        <v>3798</v>
      </c>
      <c r="H797" s="184">
        <v>101251060901</v>
      </c>
      <c r="I797" s="185" t="s">
        <v>3799</v>
      </c>
      <c r="J797" s="146" t="s">
        <v>3800</v>
      </c>
      <c r="K797" s="247"/>
      <c r="L797" s="400">
        <v>44601</v>
      </c>
      <c r="M797" s="530">
        <v>3700000</v>
      </c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AU797" s="13"/>
      <c r="AV797" s="13"/>
    </row>
    <row r="798" spans="1:48" x14ac:dyDescent="0.25">
      <c r="A798" s="344"/>
      <c r="B798" s="344" t="s">
        <v>3801</v>
      </c>
      <c r="C798" s="344">
        <v>681</v>
      </c>
      <c r="D798" s="344"/>
      <c r="E798" s="190" t="s">
        <v>732</v>
      </c>
      <c r="F798" s="183" t="s">
        <v>3802</v>
      </c>
      <c r="G798" s="183" t="s">
        <v>3803</v>
      </c>
      <c r="H798" s="184">
        <v>101251194902</v>
      </c>
      <c r="I798" s="185" t="s">
        <v>3804</v>
      </c>
      <c r="J798" s="146" t="s">
        <v>3805</v>
      </c>
      <c r="K798" s="247"/>
      <c r="L798" s="186">
        <v>44604</v>
      </c>
      <c r="M798" s="530">
        <v>2800000</v>
      </c>
      <c r="AU798" s="213"/>
      <c r="AV798" s="213"/>
    </row>
    <row r="799" spans="1:48" x14ac:dyDescent="0.25">
      <c r="A799" s="344"/>
      <c r="B799" s="344" t="s">
        <v>3806</v>
      </c>
      <c r="C799" s="344">
        <v>682</v>
      </c>
      <c r="D799" s="344"/>
      <c r="E799" s="190" t="s">
        <v>87</v>
      </c>
      <c r="F799" s="183" t="s">
        <v>3807</v>
      </c>
      <c r="G799" s="183" t="s">
        <v>3808</v>
      </c>
      <c r="H799" s="184">
        <v>101251142775</v>
      </c>
      <c r="I799" s="185" t="s">
        <v>3809</v>
      </c>
      <c r="J799" s="146" t="s">
        <v>3810</v>
      </c>
      <c r="K799" s="247"/>
      <c r="L799" s="186">
        <v>44606</v>
      </c>
      <c r="M799" s="530">
        <v>3000000</v>
      </c>
      <c r="AU799" s="213"/>
      <c r="AV799" s="213"/>
    </row>
    <row r="800" spans="1:48" x14ac:dyDescent="0.25">
      <c r="A800" s="344"/>
      <c r="B800" s="344" t="s">
        <v>800</v>
      </c>
      <c r="C800" s="344">
        <v>683</v>
      </c>
      <c r="D800" s="344"/>
      <c r="E800" s="190" t="s">
        <v>87</v>
      </c>
      <c r="F800" s="183" t="s">
        <v>3811</v>
      </c>
      <c r="G800" s="183" t="s">
        <v>3812</v>
      </c>
      <c r="H800" s="184">
        <v>117011017381</v>
      </c>
      <c r="I800" s="185" t="s">
        <v>3813</v>
      </c>
      <c r="J800" s="146" t="s">
        <v>3814</v>
      </c>
      <c r="K800" s="247"/>
      <c r="L800" s="186">
        <v>44606</v>
      </c>
      <c r="M800" s="530">
        <v>2900000</v>
      </c>
      <c r="AU800" s="213"/>
      <c r="AV800" s="213"/>
    </row>
    <row r="801" spans="1:13" x14ac:dyDescent="0.25">
      <c r="A801" s="344"/>
      <c r="B801" s="344" t="s">
        <v>3838</v>
      </c>
      <c r="C801" s="344">
        <v>684</v>
      </c>
      <c r="D801" s="344"/>
      <c r="E801" s="190" t="s">
        <v>732</v>
      </c>
      <c r="F801" s="183" t="s">
        <v>3371</v>
      </c>
      <c r="G801" s="183" t="s">
        <v>3839</v>
      </c>
      <c r="H801" s="184">
        <v>101251184740</v>
      </c>
      <c r="I801" s="185" t="s">
        <v>3840</v>
      </c>
      <c r="J801" s="146" t="s">
        <v>3841</v>
      </c>
      <c r="K801" s="247"/>
      <c r="L801" s="186">
        <v>44607</v>
      </c>
      <c r="M801" s="530">
        <v>5500000</v>
      </c>
    </row>
    <row r="802" spans="1:13" x14ac:dyDescent="0.25">
      <c r="A802" s="344"/>
      <c r="B802" s="344" t="s">
        <v>3842</v>
      </c>
      <c r="C802" s="344">
        <v>685</v>
      </c>
      <c r="D802" s="344"/>
      <c r="E802" s="190" t="s">
        <v>732</v>
      </c>
      <c r="F802" s="183" t="s">
        <v>1149</v>
      </c>
      <c r="G802" s="183" t="s">
        <v>3843</v>
      </c>
      <c r="H802" s="184">
        <v>101241095915</v>
      </c>
      <c r="I802" s="185" t="s">
        <v>3844</v>
      </c>
      <c r="J802" s="146" t="s">
        <v>3845</v>
      </c>
      <c r="K802" s="247"/>
      <c r="L802" s="186">
        <v>44608</v>
      </c>
      <c r="M802" s="530">
        <v>2600000</v>
      </c>
    </row>
    <row r="803" spans="1:13" x14ac:dyDescent="0.25">
      <c r="A803" s="344"/>
      <c r="B803" s="344" t="s">
        <v>3657</v>
      </c>
      <c r="C803" s="344">
        <v>686</v>
      </c>
      <c r="D803" s="344"/>
      <c r="E803" s="190" t="s">
        <v>435</v>
      </c>
      <c r="F803" s="183" t="s">
        <v>3846</v>
      </c>
      <c r="G803" s="183" t="s">
        <v>3847</v>
      </c>
      <c r="H803" s="184">
        <v>101211120411</v>
      </c>
      <c r="I803" s="185" t="s">
        <v>3848</v>
      </c>
      <c r="J803" s="146" t="s">
        <v>2701</v>
      </c>
      <c r="K803" s="247"/>
      <c r="L803" s="186">
        <v>44608</v>
      </c>
      <c r="M803" s="530">
        <v>3600000</v>
      </c>
    </row>
    <row r="804" spans="1:13" x14ac:dyDescent="0.25">
      <c r="A804" s="344"/>
      <c r="B804" s="344" t="s">
        <v>3849</v>
      </c>
      <c r="C804" s="344">
        <v>687</v>
      </c>
      <c r="D804" s="344"/>
      <c r="E804" s="190" t="s">
        <v>777</v>
      </c>
      <c r="F804" s="183" t="s">
        <v>3850</v>
      </c>
      <c r="G804" s="183" t="s">
        <v>3851</v>
      </c>
      <c r="H804" s="184">
        <v>101252156549</v>
      </c>
      <c r="I804" s="185" t="s">
        <v>3852</v>
      </c>
      <c r="J804" s="146" t="s">
        <v>3853</v>
      </c>
      <c r="K804" s="247"/>
      <c r="L804" s="186">
        <v>44609</v>
      </c>
      <c r="M804" s="530">
        <v>1400000</v>
      </c>
    </row>
    <row r="805" spans="1:13" x14ac:dyDescent="0.25">
      <c r="A805" s="344"/>
      <c r="B805" s="344" t="s">
        <v>3653</v>
      </c>
      <c r="C805" s="344">
        <v>688</v>
      </c>
      <c r="D805" s="344"/>
      <c r="E805" s="190" t="s">
        <v>435</v>
      </c>
      <c r="F805" s="183" t="s">
        <v>3854</v>
      </c>
      <c r="G805" s="183" t="s">
        <v>3855</v>
      </c>
      <c r="H805" s="184">
        <v>101221094710</v>
      </c>
      <c r="I805" s="185" t="s">
        <v>3856</v>
      </c>
      <c r="J805" s="146" t="s">
        <v>3859</v>
      </c>
      <c r="K805" s="247"/>
      <c r="L805" s="186">
        <v>44610</v>
      </c>
      <c r="M805" s="530">
        <v>3600000</v>
      </c>
    </row>
    <row r="806" spans="1:13" x14ac:dyDescent="0.25">
      <c r="A806" s="344"/>
      <c r="B806" s="344" t="s">
        <v>3651</v>
      </c>
      <c r="C806" s="344">
        <v>689</v>
      </c>
      <c r="D806" s="344"/>
      <c r="E806" s="190" t="s">
        <v>435</v>
      </c>
      <c r="F806" s="183" t="s">
        <v>2396</v>
      </c>
      <c r="G806" s="183" t="s">
        <v>3857</v>
      </c>
      <c r="H806" s="184">
        <v>108111036925</v>
      </c>
      <c r="I806" s="185" t="s">
        <v>3858</v>
      </c>
      <c r="J806" s="146" t="s">
        <v>3860</v>
      </c>
      <c r="K806" s="247"/>
      <c r="L806" s="186">
        <v>44611</v>
      </c>
      <c r="M806" s="530">
        <v>3300000</v>
      </c>
    </row>
    <row r="807" spans="1:13" x14ac:dyDescent="0.25">
      <c r="A807" s="344"/>
      <c r="B807" s="344" t="s">
        <v>3861</v>
      </c>
      <c r="C807" s="344">
        <v>690</v>
      </c>
      <c r="D807" s="344"/>
      <c r="E807" s="190" t="s">
        <v>3862</v>
      </c>
      <c r="F807" s="183" t="s">
        <v>1973</v>
      </c>
      <c r="G807" s="183" t="s">
        <v>3863</v>
      </c>
      <c r="H807" s="184">
        <v>101221132711</v>
      </c>
      <c r="I807" s="185" t="s">
        <v>3864</v>
      </c>
      <c r="J807" s="146" t="s">
        <v>3865</v>
      </c>
      <c r="K807" s="247"/>
      <c r="L807" s="186">
        <v>44614</v>
      </c>
      <c r="M807" s="530">
        <v>1500000</v>
      </c>
    </row>
    <row r="808" spans="1:13" x14ac:dyDescent="0.25">
      <c r="A808" s="344"/>
      <c r="B808" s="344" t="s">
        <v>3816</v>
      </c>
      <c r="C808" s="344">
        <v>691</v>
      </c>
      <c r="D808" s="344"/>
      <c r="E808" s="190" t="s">
        <v>435</v>
      </c>
      <c r="F808" s="183" t="s">
        <v>3866</v>
      </c>
      <c r="G808" s="183" t="s">
        <v>3867</v>
      </c>
      <c r="H808" s="184">
        <v>101211119349</v>
      </c>
      <c r="I808" s="185" t="s">
        <v>3868</v>
      </c>
      <c r="J808" s="146" t="s">
        <v>3869</v>
      </c>
      <c r="K808" s="247"/>
      <c r="L808" s="186">
        <v>44620</v>
      </c>
      <c r="M808" s="530">
        <v>3000000</v>
      </c>
    </row>
    <row r="809" spans="1:13" x14ac:dyDescent="0.25">
      <c r="A809" s="344"/>
      <c r="B809" s="344" t="s">
        <v>3830</v>
      </c>
      <c r="C809" s="344">
        <v>692</v>
      </c>
      <c r="D809" s="344"/>
      <c r="E809" s="190" t="s">
        <v>87</v>
      </c>
      <c r="F809" s="183" t="s">
        <v>3870</v>
      </c>
      <c r="G809" s="183" t="s">
        <v>3871</v>
      </c>
      <c r="H809" s="184">
        <v>107052001060</v>
      </c>
      <c r="I809" s="185" t="s">
        <v>3872</v>
      </c>
      <c r="J809" s="146" t="s">
        <v>3873</v>
      </c>
      <c r="K809" s="247"/>
      <c r="L809" s="186">
        <v>44620</v>
      </c>
      <c r="M809" s="530">
        <v>2800000</v>
      </c>
    </row>
    <row r="810" spans="1:13" x14ac:dyDescent="0.25">
      <c r="A810" s="344"/>
      <c r="B810" s="344" t="s">
        <v>3819</v>
      </c>
      <c r="C810" s="344">
        <v>693</v>
      </c>
      <c r="D810" s="344"/>
      <c r="E810" s="190" t="s">
        <v>435</v>
      </c>
      <c r="F810" s="183" t="s">
        <v>3874</v>
      </c>
      <c r="G810" s="183" t="s">
        <v>3875</v>
      </c>
      <c r="H810" s="184">
        <v>101251200420</v>
      </c>
      <c r="I810" s="185" t="s">
        <v>3876</v>
      </c>
      <c r="J810" s="146" t="s">
        <v>3877</v>
      </c>
      <c r="K810" s="247"/>
      <c r="L810" s="186">
        <v>44620</v>
      </c>
      <c r="M810" s="530">
        <v>3700000</v>
      </c>
    </row>
    <row r="811" spans="1:13" x14ac:dyDescent="0.25">
      <c r="A811" s="344"/>
      <c r="B811" s="344" t="s">
        <v>1713</v>
      </c>
      <c r="C811" s="344">
        <v>694</v>
      </c>
      <c r="D811" s="344"/>
      <c r="E811" s="190" t="s">
        <v>1712</v>
      </c>
      <c r="F811" s="183" t="s">
        <v>3878</v>
      </c>
      <c r="G811" s="183" t="s">
        <v>3879</v>
      </c>
      <c r="H811" s="184">
        <v>101251189294</v>
      </c>
      <c r="I811" s="185" t="s">
        <v>3880</v>
      </c>
      <c r="J811" s="146"/>
      <c r="K811" s="247"/>
      <c r="L811" s="186">
        <v>44593</v>
      </c>
      <c r="M811" s="530">
        <v>1900000</v>
      </c>
    </row>
    <row r="812" spans="1:13" x14ac:dyDescent="0.25">
      <c r="A812" s="344"/>
      <c r="B812" s="344" t="s">
        <v>3818</v>
      </c>
      <c r="C812" s="344">
        <v>695</v>
      </c>
      <c r="D812" s="344"/>
      <c r="E812" s="190" t="s">
        <v>435</v>
      </c>
      <c r="F812" s="183" t="s">
        <v>1346</v>
      </c>
      <c r="G812" s="183" t="s">
        <v>1347</v>
      </c>
      <c r="H812" s="184">
        <v>101251124230</v>
      </c>
      <c r="I812" s="185" t="s">
        <v>3881</v>
      </c>
      <c r="J812" s="146" t="s">
        <v>1349</v>
      </c>
      <c r="K812" s="247"/>
      <c r="L812" s="186">
        <v>44622</v>
      </c>
      <c r="M812" s="530">
        <v>8500000</v>
      </c>
    </row>
    <row r="813" spans="1:13" x14ac:dyDescent="0.25">
      <c r="A813" s="344"/>
      <c r="B813" s="344" t="s">
        <v>3829</v>
      </c>
      <c r="C813" s="344">
        <v>696</v>
      </c>
      <c r="D813" s="344"/>
      <c r="E813" s="190" t="s">
        <v>435</v>
      </c>
      <c r="F813" s="183" t="s">
        <v>3882</v>
      </c>
      <c r="G813" s="183" t="s">
        <v>3883</v>
      </c>
      <c r="H813" s="184">
        <v>715031010383</v>
      </c>
      <c r="I813" s="185" t="s">
        <v>3884</v>
      </c>
      <c r="J813" s="146" t="s">
        <v>3885</v>
      </c>
      <c r="K813" s="247"/>
      <c r="L813" s="186">
        <v>44623</v>
      </c>
      <c r="M813" s="530">
        <v>3700000</v>
      </c>
    </row>
    <row r="814" spans="1:13" x14ac:dyDescent="0.25">
      <c r="A814" s="344"/>
      <c r="B814" s="344" t="s">
        <v>3826</v>
      </c>
      <c r="C814" s="344">
        <v>697</v>
      </c>
      <c r="D814" s="344"/>
      <c r="E814" s="190" t="s">
        <v>435</v>
      </c>
      <c r="F814" s="183" t="s">
        <v>3886</v>
      </c>
      <c r="G814" s="183" t="s">
        <v>3887</v>
      </c>
      <c r="H814" s="184">
        <v>102071018712</v>
      </c>
      <c r="I814" s="185" t="s">
        <v>3888</v>
      </c>
      <c r="J814" s="146" t="s">
        <v>3889</v>
      </c>
      <c r="K814" s="247"/>
      <c r="L814" s="186">
        <v>44625</v>
      </c>
      <c r="M814" s="530">
        <v>3800000</v>
      </c>
    </row>
    <row r="815" spans="1:13" x14ac:dyDescent="0.25">
      <c r="A815" s="344"/>
      <c r="B815" s="344" t="s">
        <v>1296</v>
      </c>
      <c r="C815" s="344">
        <v>698</v>
      </c>
      <c r="D815" s="344"/>
      <c r="E815" s="190" t="s">
        <v>435</v>
      </c>
      <c r="F815" s="183" t="s">
        <v>3890</v>
      </c>
      <c r="G815" s="183" t="s">
        <v>3891</v>
      </c>
      <c r="H815" s="184">
        <v>117011007395</v>
      </c>
      <c r="I815" s="185" t="s">
        <v>3892</v>
      </c>
      <c r="J815" s="146" t="s">
        <v>3893</v>
      </c>
      <c r="K815" s="247"/>
      <c r="L815" s="186">
        <v>44629</v>
      </c>
      <c r="M815" s="530">
        <v>3400000</v>
      </c>
    </row>
    <row r="816" spans="1:13" x14ac:dyDescent="0.25">
      <c r="A816" s="344"/>
      <c r="B816" s="299" t="s">
        <v>4020</v>
      </c>
      <c r="C816" s="344">
        <v>699</v>
      </c>
      <c r="D816" s="344"/>
      <c r="E816" s="190" t="s">
        <v>87</v>
      </c>
      <c r="F816" s="183" t="s">
        <v>3894</v>
      </c>
      <c r="G816" s="183"/>
      <c r="H816" s="184"/>
      <c r="I816" s="185" t="s">
        <v>3895</v>
      </c>
      <c r="J816" s="146" t="s">
        <v>3896</v>
      </c>
      <c r="K816" s="247"/>
      <c r="L816" s="186">
        <v>44630</v>
      </c>
      <c r="M816" s="530">
        <v>3000000</v>
      </c>
    </row>
    <row r="817" spans="1:13" x14ac:dyDescent="0.25">
      <c r="A817" s="344"/>
      <c r="B817" s="344" t="s">
        <v>3897</v>
      </c>
      <c r="C817" s="344">
        <v>700</v>
      </c>
      <c r="D817" s="344"/>
      <c r="E817" s="190" t="s">
        <v>1483</v>
      </c>
      <c r="F817" s="183" t="s">
        <v>2842</v>
      </c>
      <c r="G817" s="183" t="s">
        <v>3898</v>
      </c>
      <c r="H817" s="184">
        <v>101231167671</v>
      </c>
      <c r="I817" s="185" t="s">
        <v>3899</v>
      </c>
      <c r="J817" s="146" t="s">
        <v>3900</v>
      </c>
      <c r="K817" s="247"/>
      <c r="L817" s="186">
        <v>44630</v>
      </c>
      <c r="M817" s="530">
        <v>1500000</v>
      </c>
    </row>
    <row r="818" spans="1:13" x14ac:dyDescent="0.25">
      <c r="A818" s="344"/>
      <c r="B818" s="344" t="s">
        <v>3901</v>
      </c>
      <c r="C818" s="344">
        <v>701</v>
      </c>
      <c r="D818" s="344"/>
      <c r="E818" s="190" t="s">
        <v>3902</v>
      </c>
      <c r="F818" s="183" t="s">
        <v>589</v>
      </c>
      <c r="G818" s="183" t="s">
        <v>3903</v>
      </c>
      <c r="H818" s="184">
        <v>101251170349</v>
      </c>
      <c r="I818" s="185" t="s">
        <v>3904</v>
      </c>
      <c r="J818" s="146" t="s">
        <v>3905</v>
      </c>
      <c r="K818" s="247"/>
      <c r="L818" s="186">
        <v>44631</v>
      </c>
      <c r="M818" s="530">
        <v>1640000</v>
      </c>
    </row>
    <row r="819" spans="1:13" x14ac:dyDescent="0.25">
      <c r="A819" s="344"/>
      <c r="B819" s="344" t="s">
        <v>3828</v>
      </c>
      <c r="C819" s="344">
        <v>702</v>
      </c>
      <c r="D819" s="344"/>
      <c r="E819" s="190" t="s">
        <v>435</v>
      </c>
      <c r="F819" s="183" t="s">
        <v>3921</v>
      </c>
      <c r="G819" s="183" t="s">
        <v>3922</v>
      </c>
      <c r="H819" s="184">
        <v>301091016488</v>
      </c>
      <c r="I819" s="185" t="s">
        <v>3923</v>
      </c>
      <c r="J819" s="146" t="s">
        <v>3924</v>
      </c>
      <c r="K819" s="247"/>
      <c r="L819" s="186">
        <v>44631</v>
      </c>
      <c r="M819" s="530">
        <v>3600000</v>
      </c>
    </row>
    <row r="820" spans="1:13" x14ac:dyDescent="0.25">
      <c r="A820" s="344"/>
      <c r="B820" s="344" t="s">
        <v>3925</v>
      </c>
      <c r="C820" s="344">
        <v>703</v>
      </c>
      <c r="D820" s="344"/>
      <c r="E820" s="190" t="s">
        <v>1034</v>
      </c>
      <c r="F820" s="183" t="s">
        <v>78</v>
      </c>
      <c r="G820" s="183" t="s">
        <v>3926</v>
      </c>
      <c r="H820" s="184">
        <v>101221106269</v>
      </c>
      <c r="I820" s="185" t="s">
        <v>3927</v>
      </c>
      <c r="J820" s="146" t="s">
        <v>3928</v>
      </c>
      <c r="K820" s="247"/>
      <c r="L820" s="186">
        <v>44632</v>
      </c>
      <c r="M820" s="530">
        <v>1300000</v>
      </c>
    </row>
    <row r="821" spans="1:13" x14ac:dyDescent="0.25">
      <c r="A821" s="344"/>
      <c r="B821" s="344" t="s">
        <v>3821</v>
      </c>
      <c r="C821" s="344">
        <v>704</v>
      </c>
      <c r="D821" s="344"/>
      <c r="E821" s="190" t="s">
        <v>435</v>
      </c>
      <c r="F821" s="183" t="s">
        <v>3929</v>
      </c>
      <c r="G821" s="183" t="s">
        <v>3930</v>
      </c>
      <c r="H821" s="184">
        <v>102011013822</v>
      </c>
      <c r="I821" s="185" t="s">
        <v>3931</v>
      </c>
      <c r="J821" s="146" t="s">
        <v>3932</v>
      </c>
      <c r="K821" s="247"/>
      <c r="L821" s="186">
        <v>44632</v>
      </c>
      <c r="M821" s="530">
        <v>3600000</v>
      </c>
    </row>
    <row r="822" spans="1:13" x14ac:dyDescent="0.25">
      <c r="A822" s="344"/>
      <c r="B822" s="344" t="s">
        <v>3820</v>
      </c>
      <c r="C822" s="344">
        <v>705</v>
      </c>
      <c r="D822" s="344"/>
      <c r="E822" s="190" t="s">
        <v>435</v>
      </c>
      <c r="F822" s="183" t="s">
        <v>78</v>
      </c>
      <c r="G822" s="183" t="s">
        <v>3933</v>
      </c>
      <c r="H822" s="184">
        <v>117051008379</v>
      </c>
      <c r="I822" s="185" t="s">
        <v>3934</v>
      </c>
      <c r="J822" s="146" t="s">
        <v>3935</v>
      </c>
      <c r="K822" s="247"/>
      <c r="L822" s="186">
        <v>44632</v>
      </c>
      <c r="M822" s="530">
        <v>3500000</v>
      </c>
    </row>
    <row r="823" spans="1:13" x14ac:dyDescent="0.25">
      <c r="A823" s="344"/>
      <c r="B823" s="344" t="s">
        <v>3936</v>
      </c>
      <c r="C823" s="344">
        <v>706</v>
      </c>
      <c r="D823" s="344"/>
      <c r="E823" s="190" t="s">
        <v>787</v>
      </c>
      <c r="F823" s="183" t="s">
        <v>3937</v>
      </c>
      <c r="G823" s="183" t="s">
        <v>3938</v>
      </c>
      <c r="H823" s="184">
        <v>101231130158</v>
      </c>
      <c r="I823" s="185" t="s">
        <v>3939</v>
      </c>
      <c r="J823" s="146" t="s">
        <v>3940</v>
      </c>
      <c r="K823" s="247"/>
      <c r="L823" s="186">
        <v>44634</v>
      </c>
      <c r="M823" s="530">
        <v>5600000</v>
      </c>
    </row>
    <row r="824" spans="1:13" x14ac:dyDescent="0.25">
      <c r="A824" s="344"/>
      <c r="B824" s="344" t="s">
        <v>3178</v>
      </c>
      <c r="C824" s="344">
        <v>707</v>
      </c>
      <c r="D824" s="344"/>
      <c r="E824" s="190" t="s">
        <v>435</v>
      </c>
      <c r="F824" s="183" t="s">
        <v>3941</v>
      </c>
      <c r="G824" s="183" t="s">
        <v>3942</v>
      </c>
      <c r="H824" s="184">
        <v>102091010291</v>
      </c>
      <c r="I824" s="185" t="s">
        <v>3943</v>
      </c>
      <c r="J824" s="146" t="s">
        <v>3944</v>
      </c>
      <c r="K824" s="247"/>
      <c r="L824" s="186">
        <v>44634</v>
      </c>
      <c r="M824" s="530">
        <v>3600000</v>
      </c>
    </row>
    <row r="825" spans="1:13" x14ac:dyDescent="0.25">
      <c r="A825" s="344"/>
      <c r="B825" s="344" t="s">
        <v>1305</v>
      </c>
      <c r="C825" s="344">
        <v>708</v>
      </c>
      <c r="D825" s="344"/>
      <c r="E825" s="190" t="s">
        <v>936</v>
      </c>
      <c r="F825" s="183" t="s">
        <v>3945</v>
      </c>
      <c r="G825" s="183" t="s">
        <v>3946</v>
      </c>
      <c r="H825" s="184">
        <v>101251153913</v>
      </c>
      <c r="I825" s="185" t="s">
        <v>3947</v>
      </c>
      <c r="J825" s="146" t="s">
        <v>3948</v>
      </c>
      <c r="K825" s="247"/>
      <c r="L825" s="186">
        <v>44634</v>
      </c>
      <c r="M825" s="530">
        <v>6800000</v>
      </c>
    </row>
    <row r="826" spans="1:13" x14ac:dyDescent="0.25">
      <c r="A826" s="344"/>
      <c r="B826" s="344" t="s">
        <v>3831</v>
      </c>
      <c r="C826" s="344">
        <v>709</v>
      </c>
      <c r="D826" s="344"/>
      <c r="E826" s="190" t="s">
        <v>87</v>
      </c>
      <c r="F826" s="183" t="s">
        <v>3949</v>
      </c>
      <c r="G826" s="183" t="s">
        <v>3950</v>
      </c>
      <c r="H826" s="184">
        <v>102071021622</v>
      </c>
      <c r="I826" s="185" t="s">
        <v>3951</v>
      </c>
      <c r="J826" s="146" t="s">
        <v>3952</v>
      </c>
      <c r="K826" s="247"/>
      <c r="L826" s="186">
        <v>44646</v>
      </c>
      <c r="M826" s="530">
        <v>2550000</v>
      </c>
    </row>
    <row r="827" spans="1:13" x14ac:dyDescent="0.25">
      <c r="A827" s="344"/>
      <c r="B827" s="344" t="s">
        <v>3825</v>
      </c>
      <c r="C827" s="344">
        <v>710</v>
      </c>
      <c r="D827" s="344"/>
      <c r="E827" s="190" t="s">
        <v>435</v>
      </c>
      <c r="F827" s="183" t="s">
        <v>78</v>
      </c>
      <c r="G827" s="183" t="s">
        <v>3953</v>
      </c>
      <c r="H827" s="184">
        <v>117071012212</v>
      </c>
      <c r="I827" s="185" t="s">
        <v>3954</v>
      </c>
      <c r="J827" s="146" t="s">
        <v>3955</v>
      </c>
      <c r="K827" s="247"/>
      <c r="L827" s="186">
        <v>44646</v>
      </c>
      <c r="M827" s="530">
        <v>3500000</v>
      </c>
    </row>
    <row r="828" spans="1:13" x14ac:dyDescent="0.25">
      <c r="A828" s="344"/>
      <c r="B828" s="344" t="s">
        <v>3956</v>
      </c>
      <c r="C828" s="344">
        <v>711</v>
      </c>
      <c r="D828" s="344"/>
      <c r="E828" s="190" t="s">
        <v>3957</v>
      </c>
      <c r="F828" s="183" t="s">
        <v>610</v>
      </c>
      <c r="G828" s="183" t="s">
        <v>3958</v>
      </c>
      <c r="H828" s="184">
        <v>101251081071</v>
      </c>
      <c r="I828" s="185" t="s">
        <v>3959</v>
      </c>
      <c r="J828" s="146" t="s">
        <v>3960</v>
      </c>
      <c r="K828" s="247"/>
      <c r="L828" s="186">
        <v>44648</v>
      </c>
      <c r="M828" s="530">
        <v>1200000</v>
      </c>
    </row>
    <row r="829" spans="1:13" x14ac:dyDescent="0.25">
      <c r="A829" s="344"/>
      <c r="B829" s="344" t="s">
        <v>3961</v>
      </c>
      <c r="C829" s="344">
        <v>712</v>
      </c>
      <c r="D829" s="344"/>
      <c r="E829" s="190" t="s">
        <v>143</v>
      </c>
      <c r="F829" s="183" t="s">
        <v>3599</v>
      </c>
      <c r="G829" s="183" t="s">
        <v>3962</v>
      </c>
      <c r="H829" s="184">
        <v>101211168144</v>
      </c>
      <c r="I829" s="185" t="s">
        <v>3963</v>
      </c>
      <c r="J829" s="146" t="s">
        <v>3964</v>
      </c>
      <c r="K829" s="247"/>
      <c r="L829" s="186">
        <v>44651</v>
      </c>
      <c r="M829" s="530">
        <v>2800000</v>
      </c>
    </row>
    <row r="830" spans="1:13" x14ac:dyDescent="0.25">
      <c r="A830" s="344"/>
      <c r="B830" s="344" t="s">
        <v>3824</v>
      </c>
      <c r="C830" s="344">
        <v>713</v>
      </c>
      <c r="D830" s="344"/>
      <c r="E830" s="190" t="s">
        <v>434</v>
      </c>
      <c r="F830" s="183" t="s">
        <v>1811</v>
      </c>
      <c r="G830" s="183" t="s">
        <v>3965</v>
      </c>
      <c r="H830" s="184">
        <v>103052009204</v>
      </c>
      <c r="I830" s="185" t="s">
        <v>3970</v>
      </c>
      <c r="J830" s="146" t="s">
        <v>3966</v>
      </c>
      <c r="K830" s="247"/>
      <c r="L830" s="186">
        <v>44651</v>
      </c>
      <c r="M830" s="530">
        <v>3400000</v>
      </c>
    </row>
    <row r="831" spans="1:13" x14ac:dyDescent="0.25">
      <c r="A831" s="344"/>
      <c r="B831" s="344" t="s">
        <v>3967</v>
      </c>
      <c r="C831" s="344">
        <v>714</v>
      </c>
      <c r="D831" s="344"/>
      <c r="E831" s="190" t="s">
        <v>1433</v>
      </c>
      <c r="F831" s="183" t="s">
        <v>3968</v>
      </c>
      <c r="G831" s="183" t="s">
        <v>3969</v>
      </c>
      <c r="H831" s="184">
        <v>106301028404</v>
      </c>
      <c r="I831" s="185" t="s">
        <v>3971</v>
      </c>
      <c r="J831" s="146" t="s">
        <v>3972</v>
      </c>
      <c r="K831" s="247"/>
      <c r="L831" s="186">
        <v>44653</v>
      </c>
      <c r="M831" s="530">
        <v>1720000</v>
      </c>
    </row>
    <row r="832" spans="1:13" x14ac:dyDescent="0.25">
      <c r="A832" s="344"/>
      <c r="B832" s="344" t="s">
        <v>3910</v>
      </c>
      <c r="C832" s="344">
        <v>715</v>
      </c>
      <c r="D832" s="344"/>
      <c r="E832" s="190" t="s">
        <v>1433</v>
      </c>
      <c r="F832" s="183" t="s">
        <v>3973</v>
      </c>
      <c r="G832" s="183" t="s">
        <v>3974</v>
      </c>
      <c r="H832" s="184">
        <v>101212159305</v>
      </c>
      <c r="I832" s="185" t="s">
        <v>3975</v>
      </c>
      <c r="J832" s="146" t="s">
        <v>3976</v>
      </c>
      <c r="K832" s="247"/>
      <c r="L832" s="186">
        <v>44653</v>
      </c>
      <c r="M832" s="530">
        <v>1800000</v>
      </c>
    </row>
    <row r="833" spans="1:13" x14ac:dyDescent="0.25">
      <c r="A833" s="344"/>
      <c r="B833" s="344" t="s">
        <v>3912</v>
      </c>
      <c r="C833" s="344">
        <v>716</v>
      </c>
      <c r="D833" s="344"/>
      <c r="E833" s="190" t="s">
        <v>1433</v>
      </c>
      <c r="F833" s="183" t="s">
        <v>3977</v>
      </c>
      <c r="G833" s="183" t="s">
        <v>3978</v>
      </c>
      <c r="H833" s="184">
        <v>108072009942</v>
      </c>
      <c r="I833" s="185" t="s">
        <v>3979</v>
      </c>
      <c r="J833" s="146" t="s">
        <v>3980</v>
      </c>
      <c r="K833" s="247"/>
      <c r="L833" s="186">
        <v>44653</v>
      </c>
      <c r="M833" s="530">
        <v>1800000</v>
      </c>
    </row>
    <row r="834" spans="1:13" x14ac:dyDescent="0.25">
      <c r="A834" s="344"/>
      <c r="B834" s="344" t="s">
        <v>3915</v>
      </c>
      <c r="C834" s="344">
        <v>717</v>
      </c>
      <c r="D834" s="344"/>
      <c r="E834" s="190" t="s">
        <v>1433</v>
      </c>
      <c r="F834" s="183" t="s">
        <v>2309</v>
      </c>
      <c r="G834" s="183" t="s">
        <v>3981</v>
      </c>
      <c r="H834" s="184">
        <v>102371010918</v>
      </c>
      <c r="I834" s="185" t="s">
        <v>3982</v>
      </c>
      <c r="J834" s="146" t="s">
        <v>3983</v>
      </c>
      <c r="K834" s="247"/>
      <c r="L834" s="186">
        <v>44653</v>
      </c>
      <c r="M834" s="530">
        <v>1770000</v>
      </c>
    </row>
    <row r="835" spans="1:13" x14ac:dyDescent="0.25">
      <c r="A835" s="344"/>
      <c r="B835" s="344" t="s">
        <v>3984</v>
      </c>
      <c r="C835" s="344">
        <v>718</v>
      </c>
      <c r="D835" s="344"/>
      <c r="E835" s="190" t="s">
        <v>224</v>
      </c>
      <c r="F835" s="183" t="s">
        <v>3985</v>
      </c>
      <c r="G835" s="183" t="s">
        <v>3986</v>
      </c>
      <c r="H835" s="184" t="s">
        <v>3987</v>
      </c>
      <c r="I835" s="185" t="s">
        <v>3988</v>
      </c>
      <c r="J835" s="146" t="s">
        <v>3989</v>
      </c>
      <c r="K835" s="247"/>
      <c r="L835" s="186">
        <v>44656</v>
      </c>
      <c r="M835" s="530">
        <v>2200000</v>
      </c>
    </row>
    <row r="836" spans="1:13" x14ac:dyDescent="0.25">
      <c r="A836" s="344"/>
      <c r="B836" s="344" t="s">
        <v>3827</v>
      </c>
      <c r="C836" s="344">
        <v>719</v>
      </c>
      <c r="D836" s="344"/>
      <c r="E836" s="190" t="s">
        <v>435</v>
      </c>
      <c r="F836" s="183" t="s">
        <v>3990</v>
      </c>
      <c r="G836" s="183" t="s">
        <v>3580</v>
      </c>
      <c r="H836" s="184">
        <v>101221079068</v>
      </c>
      <c r="I836" s="185" t="s">
        <v>3991</v>
      </c>
      <c r="J836" s="146" t="s">
        <v>3992</v>
      </c>
      <c r="K836" s="247"/>
      <c r="L836" s="186">
        <v>44656</v>
      </c>
      <c r="M836" s="530">
        <v>3540000</v>
      </c>
    </row>
    <row r="837" spans="1:13" x14ac:dyDescent="0.25">
      <c r="A837" s="344"/>
      <c r="B837" s="344" t="s">
        <v>3909</v>
      </c>
      <c r="C837" s="344">
        <v>720</v>
      </c>
      <c r="D837" s="344"/>
      <c r="E837" s="190" t="s">
        <v>1433</v>
      </c>
      <c r="F837" s="183" t="s">
        <v>3993</v>
      </c>
      <c r="G837" s="183" t="s">
        <v>3994</v>
      </c>
      <c r="H837" s="184">
        <v>101222085787</v>
      </c>
      <c r="I837" s="185" t="s">
        <v>3995</v>
      </c>
      <c r="J837" s="146" t="s">
        <v>3996</v>
      </c>
      <c r="K837" s="247"/>
      <c r="L837" s="186">
        <v>44657</v>
      </c>
      <c r="M837" s="530">
        <v>1760000</v>
      </c>
    </row>
    <row r="838" spans="1:13" x14ac:dyDescent="0.25">
      <c r="A838" s="344"/>
      <c r="B838" s="344" t="s">
        <v>3817</v>
      </c>
      <c r="C838" s="344">
        <v>721</v>
      </c>
      <c r="D838" s="344"/>
      <c r="E838" s="190" t="s">
        <v>435</v>
      </c>
      <c r="F838" s="183" t="s">
        <v>2602</v>
      </c>
      <c r="G838" s="183" t="s">
        <v>3938</v>
      </c>
      <c r="H838" s="184">
        <v>101231139748</v>
      </c>
      <c r="I838" s="185" t="s">
        <v>3997</v>
      </c>
      <c r="J838" s="146" t="s">
        <v>3998</v>
      </c>
      <c r="K838" s="247"/>
      <c r="L838" s="186">
        <v>44658</v>
      </c>
      <c r="M838" s="530">
        <v>3300000</v>
      </c>
    </row>
    <row r="839" spans="1:13" x14ac:dyDescent="0.25">
      <c r="A839" s="344"/>
      <c r="B839" s="344" t="s">
        <v>3916</v>
      </c>
      <c r="C839" s="344">
        <v>722</v>
      </c>
      <c r="D839" s="344"/>
      <c r="E839" s="190" t="s">
        <v>1433</v>
      </c>
      <c r="F839" s="183" t="s">
        <v>3999</v>
      </c>
      <c r="G839" s="183" t="s">
        <v>322</v>
      </c>
      <c r="H839" s="184">
        <v>101241160603</v>
      </c>
      <c r="I839" s="185" t="s">
        <v>4000</v>
      </c>
      <c r="J839" s="146" t="s">
        <v>4001</v>
      </c>
      <c r="K839" s="247"/>
      <c r="L839" s="186">
        <v>44658</v>
      </c>
      <c r="M839" s="530">
        <v>1600000</v>
      </c>
    </row>
    <row r="840" spans="1:13" x14ac:dyDescent="0.25">
      <c r="A840" s="344"/>
      <c r="B840" s="344" t="s">
        <v>4002</v>
      </c>
      <c r="C840" s="344">
        <v>723</v>
      </c>
      <c r="D840" s="344"/>
      <c r="E840" s="190" t="s">
        <v>4003</v>
      </c>
      <c r="F840" s="183" t="s">
        <v>1060</v>
      </c>
      <c r="G840" s="183" t="s">
        <v>4004</v>
      </c>
      <c r="H840" s="184">
        <v>102091012150</v>
      </c>
      <c r="I840" s="185" t="s">
        <v>4005</v>
      </c>
      <c r="J840" s="146" t="s">
        <v>4006</v>
      </c>
      <c r="K840" s="247"/>
      <c r="L840" s="186">
        <v>44659</v>
      </c>
      <c r="M840" s="530">
        <v>1600000</v>
      </c>
    </row>
    <row r="841" spans="1:13" x14ac:dyDescent="0.25">
      <c r="A841" s="344"/>
      <c r="B841" s="344" t="s">
        <v>4007</v>
      </c>
      <c r="C841" s="344">
        <v>724</v>
      </c>
      <c r="D841" s="344"/>
      <c r="E841" s="190" t="s">
        <v>435</v>
      </c>
      <c r="F841" s="183" t="s">
        <v>3371</v>
      </c>
      <c r="G841" s="183" t="s">
        <v>4008</v>
      </c>
      <c r="H841" s="184">
        <v>102311005700</v>
      </c>
      <c r="I841" s="185" t="s">
        <v>4009</v>
      </c>
      <c r="J841" s="146" t="s">
        <v>4010</v>
      </c>
      <c r="K841" s="247"/>
      <c r="L841" s="186">
        <v>44659</v>
      </c>
      <c r="M841" s="530">
        <v>5000000</v>
      </c>
    </row>
    <row r="842" spans="1:13" x14ac:dyDescent="0.25">
      <c r="A842" s="344"/>
      <c r="B842" s="344" t="s">
        <v>3834</v>
      </c>
      <c r="C842" s="344">
        <v>725</v>
      </c>
      <c r="D842" s="344"/>
      <c r="E842" s="190" t="s">
        <v>87</v>
      </c>
      <c r="F842" s="183" t="s">
        <v>4011</v>
      </c>
      <c r="G842" s="183" t="s">
        <v>4012</v>
      </c>
      <c r="H842" s="184">
        <v>102371005622</v>
      </c>
      <c r="I842" s="185" t="s">
        <v>4013</v>
      </c>
      <c r="J842" s="146" t="s">
        <v>4014</v>
      </c>
      <c r="K842" s="247"/>
      <c r="L842" s="186">
        <v>44660</v>
      </c>
      <c r="M842" s="530">
        <v>2800000</v>
      </c>
    </row>
    <row r="843" spans="1:13" x14ac:dyDescent="0.25">
      <c r="A843" s="344"/>
      <c r="B843" s="344" t="s">
        <v>1288</v>
      </c>
      <c r="C843" s="344">
        <v>726</v>
      </c>
      <c r="D843" s="344"/>
      <c r="E843" s="190" t="s">
        <v>87</v>
      </c>
      <c r="F843" s="183" t="s">
        <v>4015</v>
      </c>
      <c r="G843" s="183" t="s">
        <v>4016</v>
      </c>
      <c r="H843" s="184">
        <v>101981102781</v>
      </c>
      <c r="I843" s="185" t="s">
        <v>4017</v>
      </c>
      <c r="J843" s="146" t="s">
        <v>4018</v>
      </c>
      <c r="K843" s="247"/>
      <c r="L843" s="186">
        <v>44662</v>
      </c>
      <c r="M843" s="530">
        <v>2600000</v>
      </c>
    </row>
    <row r="844" spans="1:13" x14ac:dyDescent="0.25">
      <c r="A844" s="344"/>
      <c r="B844" s="344" t="s">
        <v>4058</v>
      </c>
      <c r="C844" s="344">
        <v>727</v>
      </c>
      <c r="D844" s="344"/>
      <c r="E844" s="190" t="s">
        <v>87</v>
      </c>
      <c r="F844" s="183" t="s">
        <v>4059</v>
      </c>
      <c r="G844" s="183" t="s">
        <v>4060</v>
      </c>
      <c r="H844" s="184">
        <v>101031024637</v>
      </c>
      <c r="I844" s="185" t="s">
        <v>4061</v>
      </c>
      <c r="J844" s="146" t="s">
        <v>4062</v>
      </c>
      <c r="K844" s="247"/>
      <c r="L844" s="186">
        <v>44663</v>
      </c>
      <c r="M844" s="530">
        <v>2800000</v>
      </c>
    </row>
    <row r="845" spans="1:13" x14ac:dyDescent="0.25">
      <c r="A845" s="344"/>
      <c r="B845" s="344" t="s">
        <v>3914</v>
      </c>
      <c r="C845" s="344">
        <v>728</v>
      </c>
      <c r="D845" s="344"/>
      <c r="E845" s="190" t="s">
        <v>1433</v>
      </c>
      <c r="F845" s="183" t="s">
        <v>4063</v>
      </c>
      <c r="G845" s="183" t="s">
        <v>2940</v>
      </c>
      <c r="H845" s="184">
        <v>101231095720</v>
      </c>
      <c r="I845" s="185" t="s">
        <v>4064</v>
      </c>
      <c r="J845" s="146" t="s">
        <v>4065</v>
      </c>
      <c r="K845" s="247"/>
      <c r="L845" s="186">
        <v>44663</v>
      </c>
      <c r="M845" s="530">
        <v>1750000</v>
      </c>
    </row>
    <row r="846" spans="1:13" x14ac:dyDescent="0.25">
      <c r="A846" s="344"/>
      <c r="B846" s="344" t="s">
        <v>3917</v>
      </c>
      <c r="C846" s="344">
        <v>729</v>
      </c>
      <c r="D846" s="344"/>
      <c r="E846" s="190" t="s">
        <v>1433</v>
      </c>
      <c r="F846" s="183" t="s">
        <v>2070</v>
      </c>
      <c r="G846" s="183" t="s">
        <v>4066</v>
      </c>
      <c r="H846" s="184">
        <v>308302034716</v>
      </c>
      <c r="I846" s="185" t="s">
        <v>4067</v>
      </c>
      <c r="J846" s="146" t="s">
        <v>4068</v>
      </c>
      <c r="K846" s="247"/>
      <c r="L846" s="186">
        <v>44664</v>
      </c>
      <c r="M846" s="530">
        <v>1800000</v>
      </c>
    </row>
    <row r="847" spans="1:13" x14ac:dyDescent="0.25">
      <c r="A847" s="344"/>
      <c r="B847" s="344" t="s">
        <v>3832</v>
      </c>
      <c r="C847" s="344">
        <v>730</v>
      </c>
      <c r="D847" s="344"/>
      <c r="E847" s="190" t="s">
        <v>87</v>
      </c>
      <c r="F847" s="183" t="s">
        <v>4069</v>
      </c>
      <c r="G847" s="183" t="s">
        <v>4070</v>
      </c>
      <c r="H847" s="184">
        <v>101251155904</v>
      </c>
      <c r="I847" s="185" t="s">
        <v>4071</v>
      </c>
      <c r="J847" s="146" t="s">
        <v>4072</v>
      </c>
      <c r="K847" s="247"/>
      <c r="L847" s="186">
        <v>44664</v>
      </c>
      <c r="M847" s="530">
        <v>2600000</v>
      </c>
    </row>
    <row r="848" spans="1:13" x14ac:dyDescent="0.25">
      <c r="A848" s="344"/>
      <c r="B848" s="344" t="s">
        <v>4019</v>
      </c>
      <c r="C848" s="344">
        <v>731</v>
      </c>
      <c r="D848" s="344"/>
      <c r="E848" s="190" t="s">
        <v>435</v>
      </c>
      <c r="F848" s="183" t="s">
        <v>4073</v>
      </c>
      <c r="G848" s="183" t="s">
        <v>4074</v>
      </c>
      <c r="H848" s="184">
        <v>101241121904</v>
      </c>
      <c r="I848" s="185" t="s">
        <v>4075</v>
      </c>
      <c r="J848" s="146" t="s">
        <v>4076</v>
      </c>
      <c r="K848" s="247"/>
      <c r="L848" s="186">
        <v>44666</v>
      </c>
      <c r="M848" s="530">
        <v>3550000</v>
      </c>
    </row>
    <row r="849" spans="1:13" x14ac:dyDescent="0.25">
      <c r="A849" s="344"/>
      <c r="B849" s="344" t="s">
        <v>3823</v>
      </c>
      <c r="C849" s="344">
        <v>732</v>
      </c>
      <c r="D849" s="344"/>
      <c r="E849" s="190" t="s">
        <v>435</v>
      </c>
      <c r="F849" s="183" t="s">
        <v>4077</v>
      </c>
      <c r="G849" s="183" t="s">
        <v>4078</v>
      </c>
      <c r="H849" s="184">
        <v>103112011119</v>
      </c>
      <c r="I849" s="185" t="s">
        <v>4079</v>
      </c>
      <c r="J849" s="146" t="s">
        <v>4080</v>
      </c>
      <c r="K849" s="247"/>
      <c r="L849" s="186">
        <v>44667</v>
      </c>
      <c r="M849" s="530">
        <v>3795000</v>
      </c>
    </row>
    <row r="850" spans="1:13" x14ac:dyDescent="0.25">
      <c r="A850" s="344"/>
      <c r="B850" s="344" t="s">
        <v>4021</v>
      </c>
      <c r="C850" s="344">
        <v>733</v>
      </c>
      <c r="D850" s="344"/>
      <c r="E850" s="190" t="s">
        <v>435</v>
      </c>
      <c r="F850" s="183" t="s">
        <v>2155</v>
      </c>
      <c r="G850" s="183" t="s">
        <v>4081</v>
      </c>
      <c r="H850" s="184">
        <v>307011013137</v>
      </c>
      <c r="I850" s="185" t="s">
        <v>4082</v>
      </c>
      <c r="J850" s="146" t="s">
        <v>4083</v>
      </c>
      <c r="K850" s="247"/>
      <c r="L850" s="186">
        <v>44667</v>
      </c>
      <c r="M850" s="530">
        <v>4100000</v>
      </c>
    </row>
    <row r="851" spans="1:13" x14ac:dyDescent="0.25">
      <c r="A851" s="344"/>
      <c r="B851" s="344" t="s">
        <v>4084</v>
      </c>
      <c r="C851" s="344">
        <v>734</v>
      </c>
      <c r="D851" s="344"/>
      <c r="E851" s="190" t="s">
        <v>87</v>
      </c>
      <c r="F851" s="183" t="s">
        <v>4085</v>
      </c>
      <c r="G851" s="183" t="s">
        <v>4086</v>
      </c>
      <c r="H851" s="184">
        <v>101231125462</v>
      </c>
      <c r="I851" s="185" t="s">
        <v>4087</v>
      </c>
      <c r="J851" s="146" t="s">
        <v>4088</v>
      </c>
      <c r="K851" s="247"/>
      <c r="L851" s="186">
        <v>44667</v>
      </c>
      <c r="M851" s="530">
        <v>2850000</v>
      </c>
    </row>
    <row r="852" spans="1:13" x14ac:dyDescent="0.25">
      <c r="A852" s="344"/>
      <c r="B852" s="344" t="s">
        <v>3661</v>
      </c>
      <c r="C852" s="344">
        <v>735</v>
      </c>
      <c r="D852" s="344"/>
      <c r="E852" s="190" t="s">
        <v>28</v>
      </c>
      <c r="F852" s="183" t="s">
        <v>907</v>
      </c>
      <c r="G852" s="183" t="s">
        <v>1317</v>
      </c>
      <c r="H852" s="184">
        <v>102031038419</v>
      </c>
      <c r="I852" s="185" t="s">
        <v>4089</v>
      </c>
      <c r="J852" s="146" t="s">
        <v>4090</v>
      </c>
      <c r="K852" s="247"/>
      <c r="L852" s="186">
        <v>44670</v>
      </c>
      <c r="M852" s="530">
        <v>3400000</v>
      </c>
    </row>
    <row r="853" spans="1:13" x14ac:dyDescent="0.25">
      <c r="A853" s="344"/>
      <c r="B853" s="344" t="s">
        <v>3918</v>
      </c>
      <c r="C853" s="344">
        <v>736</v>
      </c>
      <c r="D853" s="344"/>
      <c r="E853" s="190" t="s">
        <v>1433</v>
      </c>
      <c r="F853" s="183" t="s">
        <v>4091</v>
      </c>
      <c r="G853" s="183" t="s">
        <v>83</v>
      </c>
      <c r="H853" s="184">
        <v>102031012431</v>
      </c>
      <c r="I853" s="185" t="s">
        <v>4092</v>
      </c>
      <c r="J853" s="146" t="s">
        <v>4093</v>
      </c>
      <c r="K853" s="247"/>
      <c r="L853" s="186">
        <v>44671</v>
      </c>
      <c r="M853" s="530">
        <v>1700000</v>
      </c>
    </row>
    <row r="854" spans="1:13" x14ac:dyDescent="0.25">
      <c r="A854" s="344"/>
      <c r="B854" s="344" t="s">
        <v>3911</v>
      </c>
      <c r="C854" s="344">
        <v>737</v>
      </c>
      <c r="D854" s="344"/>
      <c r="E854" s="190" t="s">
        <v>1433</v>
      </c>
      <c r="F854" s="183" t="s">
        <v>2118</v>
      </c>
      <c r="G854" s="183" t="s">
        <v>4094</v>
      </c>
      <c r="H854" s="184">
        <v>101241094078</v>
      </c>
      <c r="I854" s="185" t="s">
        <v>4095</v>
      </c>
      <c r="J854" s="146" t="s">
        <v>4096</v>
      </c>
      <c r="K854" s="247"/>
      <c r="L854" s="186">
        <v>44672</v>
      </c>
      <c r="M854" s="530">
        <v>1700000</v>
      </c>
    </row>
    <row r="855" spans="1:13" x14ac:dyDescent="0.25">
      <c r="A855" s="344"/>
      <c r="B855" s="344" t="s">
        <v>4097</v>
      </c>
      <c r="C855" s="344">
        <v>738</v>
      </c>
      <c r="D855" s="344"/>
      <c r="E855" s="190" t="s">
        <v>1034</v>
      </c>
      <c r="F855" s="183" t="s">
        <v>3537</v>
      </c>
      <c r="G855" s="183" t="s">
        <v>4098</v>
      </c>
      <c r="H855" s="184">
        <v>115151001444</v>
      </c>
      <c r="I855" s="185" t="s">
        <v>4099</v>
      </c>
      <c r="J855" s="146" t="s">
        <v>4100</v>
      </c>
      <c r="K855" s="247"/>
      <c r="L855" s="186">
        <v>44673</v>
      </c>
      <c r="M855" s="530">
        <v>1200000</v>
      </c>
    </row>
    <row r="856" spans="1:13" x14ac:dyDescent="0.25">
      <c r="A856" s="344"/>
      <c r="B856" s="344" t="s">
        <v>3731</v>
      </c>
      <c r="C856" s="344">
        <v>739</v>
      </c>
      <c r="D856" s="344"/>
      <c r="E856" s="190" t="s">
        <v>435</v>
      </c>
      <c r="F856" s="183" t="s">
        <v>4101</v>
      </c>
      <c r="G856" s="183" t="s">
        <v>4102</v>
      </c>
      <c r="H856" s="184">
        <v>106092004166</v>
      </c>
      <c r="I856" s="185" t="s">
        <v>4103</v>
      </c>
      <c r="J856" s="146" t="s">
        <v>4104</v>
      </c>
      <c r="K856" s="247"/>
      <c r="L856" s="186">
        <v>44674</v>
      </c>
      <c r="M856" s="530">
        <v>3600000</v>
      </c>
    </row>
    <row r="857" spans="1:13" x14ac:dyDescent="0.25">
      <c r="A857" s="344"/>
      <c r="B857" s="344" t="s">
        <v>4105</v>
      </c>
      <c r="C857" s="344">
        <v>740</v>
      </c>
      <c r="D857" s="344"/>
      <c r="E857" s="190" t="s">
        <v>1034</v>
      </c>
      <c r="F857" s="183" t="s">
        <v>2435</v>
      </c>
      <c r="G857" s="183" t="s">
        <v>4106</v>
      </c>
      <c r="H857" s="184">
        <v>117072023465</v>
      </c>
      <c r="I857" s="185" t="s">
        <v>4107</v>
      </c>
      <c r="J857" s="146" t="s">
        <v>4108</v>
      </c>
      <c r="K857" s="247"/>
      <c r="L857" s="186">
        <v>44676</v>
      </c>
      <c r="M857" s="530">
        <v>1500000</v>
      </c>
    </row>
    <row r="858" spans="1:13" x14ac:dyDescent="0.25">
      <c r="A858" s="344"/>
      <c r="B858" s="344" t="s">
        <v>4024</v>
      </c>
      <c r="C858" s="344">
        <v>741</v>
      </c>
      <c r="D858" s="344"/>
      <c r="E858" s="190" t="s">
        <v>435</v>
      </c>
      <c r="F858" s="183" t="s">
        <v>3460</v>
      </c>
      <c r="G858" s="183" t="s">
        <v>4109</v>
      </c>
      <c r="H858" s="184">
        <v>101981068583</v>
      </c>
      <c r="I858" s="185" t="s">
        <v>4110</v>
      </c>
      <c r="J858" s="146" t="s">
        <v>4111</v>
      </c>
      <c r="K858" s="247"/>
      <c r="L858" s="186">
        <v>44677</v>
      </c>
      <c r="M858" s="530">
        <v>3500000</v>
      </c>
    </row>
    <row r="859" spans="1:13" x14ac:dyDescent="0.25">
      <c r="A859" s="344"/>
      <c r="B859" s="344" t="s">
        <v>4025</v>
      </c>
      <c r="C859" s="344">
        <v>742</v>
      </c>
      <c r="D859" s="344"/>
      <c r="E859" s="190" t="s">
        <v>435</v>
      </c>
      <c r="F859" s="183" t="s">
        <v>4112</v>
      </c>
      <c r="G859" s="183" t="s">
        <v>4113</v>
      </c>
      <c r="H859" s="184">
        <v>101251107686</v>
      </c>
      <c r="I859" s="185" t="s">
        <v>4114</v>
      </c>
      <c r="J859" s="146" t="s">
        <v>4115</v>
      </c>
      <c r="K859" s="247"/>
      <c r="L859" s="186">
        <v>44677</v>
      </c>
      <c r="M859" s="530">
        <v>3500000</v>
      </c>
    </row>
    <row r="860" spans="1:13" x14ac:dyDescent="0.25">
      <c r="A860" s="344"/>
      <c r="B860" s="344" t="s">
        <v>4116</v>
      </c>
      <c r="C860" s="344">
        <v>743</v>
      </c>
      <c r="D860" s="344"/>
      <c r="E860" s="190" t="s">
        <v>224</v>
      </c>
      <c r="F860" s="183" t="s">
        <v>4117</v>
      </c>
      <c r="G860" s="183" t="s">
        <v>4118</v>
      </c>
      <c r="H860" s="184">
        <v>101251133524</v>
      </c>
      <c r="I860" s="185" t="s">
        <v>4119</v>
      </c>
      <c r="J860" s="146" t="s">
        <v>4120</v>
      </c>
      <c r="K860" s="247"/>
      <c r="L860" s="186">
        <v>44678</v>
      </c>
      <c r="M860" s="530">
        <v>2700000</v>
      </c>
    </row>
    <row r="861" spans="1:13" x14ac:dyDescent="0.25">
      <c r="A861" s="344"/>
      <c r="B861" s="344" t="s">
        <v>4030</v>
      </c>
      <c r="C861" s="344">
        <v>744</v>
      </c>
      <c r="D861" s="344"/>
      <c r="E861" s="190" t="s">
        <v>28</v>
      </c>
      <c r="F861" s="183" t="s">
        <v>4121</v>
      </c>
      <c r="G861" s="183" t="s">
        <v>4122</v>
      </c>
      <c r="H861" s="184">
        <v>108071015838</v>
      </c>
      <c r="I861" s="185" t="s">
        <v>4123</v>
      </c>
      <c r="J861" s="146" t="s">
        <v>4124</v>
      </c>
      <c r="K861" s="247"/>
      <c r="L861" s="186">
        <v>44678</v>
      </c>
      <c r="M861" s="530">
        <v>3000000</v>
      </c>
    </row>
    <row r="862" spans="1:13" x14ac:dyDescent="0.25">
      <c r="A862" s="344"/>
      <c r="B862" s="344" t="s">
        <v>4034</v>
      </c>
      <c r="C862" s="344">
        <v>745</v>
      </c>
      <c r="D862" s="344"/>
      <c r="E862" s="190" t="s">
        <v>87</v>
      </c>
      <c r="F862" s="183" t="s">
        <v>4125</v>
      </c>
      <c r="G862" s="183" t="s">
        <v>4126</v>
      </c>
      <c r="H862" s="184">
        <v>101251129825</v>
      </c>
      <c r="I862" s="185" t="s">
        <v>4127</v>
      </c>
      <c r="J862" s="146" t="s">
        <v>4128</v>
      </c>
      <c r="K862" s="247"/>
      <c r="L862" s="186">
        <v>44679</v>
      </c>
      <c r="M862" s="530">
        <v>2700000</v>
      </c>
    </row>
    <row r="863" spans="1:13" x14ac:dyDescent="0.25">
      <c r="A863" s="344"/>
      <c r="B863" s="344" t="s">
        <v>4032</v>
      </c>
      <c r="C863" s="344">
        <v>746</v>
      </c>
      <c r="D863" s="344"/>
      <c r="E863" s="190" t="s">
        <v>87</v>
      </c>
      <c r="F863" s="183" t="s">
        <v>96</v>
      </c>
      <c r="G863" s="183" t="s">
        <v>4129</v>
      </c>
      <c r="H863" s="184">
        <v>102012020520</v>
      </c>
      <c r="I863" s="185" t="s">
        <v>4130</v>
      </c>
      <c r="J863" s="146" t="s">
        <v>4131</v>
      </c>
      <c r="K863" s="247"/>
      <c r="L863" s="186">
        <v>44680</v>
      </c>
      <c r="M863" s="530">
        <v>2650000</v>
      </c>
    </row>
    <row r="864" spans="1:13" x14ac:dyDescent="0.25">
      <c r="A864" s="344"/>
      <c r="B864" s="344" t="s">
        <v>4132</v>
      </c>
      <c r="C864" s="344">
        <v>747</v>
      </c>
      <c r="D864" s="344"/>
      <c r="E864" s="190" t="s">
        <v>434</v>
      </c>
      <c r="F864" s="183" t="s">
        <v>63</v>
      </c>
      <c r="G864" s="183" t="s">
        <v>4133</v>
      </c>
      <c r="H864" s="184">
        <v>101231105905</v>
      </c>
      <c r="I864" s="185" t="s">
        <v>4134</v>
      </c>
      <c r="J864" s="146" t="s">
        <v>4135</v>
      </c>
      <c r="K864" s="247"/>
      <c r="L864" s="186">
        <v>44681</v>
      </c>
      <c r="M864" s="530">
        <v>4200000</v>
      </c>
    </row>
    <row r="865" spans="1:13" x14ac:dyDescent="0.25">
      <c r="A865" s="344"/>
      <c r="B865" s="344" t="s">
        <v>4136</v>
      </c>
      <c r="C865" s="344">
        <v>748</v>
      </c>
      <c r="D865" s="344"/>
      <c r="E865" s="190" t="s">
        <v>224</v>
      </c>
      <c r="F865" s="183" t="s">
        <v>4137</v>
      </c>
      <c r="G865" s="183" t="s">
        <v>4138</v>
      </c>
      <c r="H865" s="184">
        <v>118111009879</v>
      </c>
      <c r="I865" s="185" t="s">
        <v>4139</v>
      </c>
      <c r="J865" s="146" t="s">
        <v>4140</v>
      </c>
      <c r="K865" s="247"/>
      <c r="L865" s="186">
        <v>44685</v>
      </c>
      <c r="M865" s="530">
        <v>2300000</v>
      </c>
    </row>
    <row r="866" spans="1:13" x14ac:dyDescent="0.25">
      <c r="A866" s="344"/>
      <c r="B866" s="344" t="s">
        <v>4141</v>
      </c>
      <c r="C866" s="344">
        <v>749</v>
      </c>
      <c r="D866" s="344"/>
      <c r="E866" s="190" t="s">
        <v>2527</v>
      </c>
      <c r="F866" s="183" t="s">
        <v>2816</v>
      </c>
      <c r="G866" s="183" t="s">
        <v>4142</v>
      </c>
      <c r="H866" s="184">
        <v>508991018748</v>
      </c>
      <c r="I866" s="185" t="s">
        <v>4143</v>
      </c>
      <c r="J866" s="146" t="s">
        <v>3402</v>
      </c>
      <c r="K866" s="247"/>
      <c r="L866" s="186">
        <v>44687</v>
      </c>
      <c r="M866" s="530"/>
    </row>
    <row r="867" spans="1:13" x14ac:dyDescent="0.25">
      <c r="A867" s="344"/>
      <c r="B867" s="344" t="s">
        <v>4033</v>
      </c>
      <c r="C867" s="344">
        <v>750</v>
      </c>
      <c r="D867" s="344"/>
      <c r="E867" s="190" t="s">
        <v>87</v>
      </c>
      <c r="F867" s="183" t="s">
        <v>4144</v>
      </c>
      <c r="G867" s="183" t="s">
        <v>4145</v>
      </c>
      <c r="H867" s="184">
        <v>408191006514</v>
      </c>
      <c r="I867" s="185" t="s">
        <v>4146</v>
      </c>
      <c r="J867" s="146" t="s">
        <v>4147</v>
      </c>
      <c r="K867" s="247"/>
      <c r="L867" s="186">
        <v>44689</v>
      </c>
      <c r="M867" s="530">
        <v>2600000</v>
      </c>
    </row>
    <row r="868" spans="1:13" x14ac:dyDescent="0.25">
      <c r="A868" s="344"/>
      <c r="B868" s="344" t="s">
        <v>4031</v>
      </c>
      <c r="C868" s="344">
        <v>751</v>
      </c>
      <c r="D868" s="344"/>
      <c r="E868" s="190" t="s">
        <v>28</v>
      </c>
      <c r="F868" s="183" t="s">
        <v>4148</v>
      </c>
      <c r="G868" s="183" t="s">
        <v>4149</v>
      </c>
      <c r="H868" s="184">
        <v>101211162314</v>
      </c>
      <c r="I868" s="185" t="s">
        <v>4150</v>
      </c>
      <c r="J868" s="146" t="s">
        <v>4151</v>
      </c>
      <c r="K868" s="247"/>
      <c r="L868" s="186">
        <v>44693</v>
      </c>
      <c r="M868" s="530">
        <v>2650000</v>
      </c>
    </row>
    <row r="869" spans="1:13" x14ac:dyDescent="0.25">
      <c r="A869" s="344"/>
      <c r="B869" s="344" t="s">
        <v>4152</v>
      </c>
      <c r="C869" s="344">
        <v>752</v>
      </c>
      <c r="D869" s="344"/>
      <c r="E869" s="190" t="s">
        <v>435</v>
      </c>
      <c r="F869" s="183" t="s">
        <v>4153</v>
      </c>
      <c r="G869" s="183" t="s">
        <v>4154</v>
      </c>
      <c r="H869" s="184">
        <v>101251175414</v>
      </c>
      <c r="I869" s="185" t="s">
        <v>4155</v>
      </c>
      <c r="J869" s="146" t="s">
        <v>4156</v>
      </c>
      <c r="K869" s="247"/>
      <c r="L869" s="186">
        <v>44694</v>
      </c>
      <c r="M869" s="530">
        <v>3000000</v>
      </c>
    </row>
    <row r="870" spans="1:13" x14ac:dyDescent="0.25">
      <c r="A870" s="344"/>
      <c r="B870" s="344" t="s">
        <v>4157</v>
      </c>
      <c r="C870" s="344">
        <v>753</v>
      </c>
      <c r="D870" s="344"/>
      <c r="E870" s="190" t="s">
        <v>435</v>
      </c>
      <c r="F870" s="183" t="s">
        <v>884</v>
      </c>
      <c r="G870" s="183" t="s">
        <v>4158</v>
      </c>
      <c r="H870" s="184">
        <v>101211226703</v>
      </c>
      <c r="I870" s="185" t="s">
        <v>4159</v>
      </c>
      <c r="J870" s="146" t="s">
        <v>4160</v>
      </c>
      <c r="K870" s="247"/>
      <c r="L870" s="186">
        <v>44695</v>
      </c>
      <c r="M870" s="530">
        <v>4000000</v>
      </c>
    </row>
    <row r="871" spans="1:13" x14ac:dyDescent="0.25">
      <c r="A871" s="344"/>
      <c r="B871" s="344" t="s">
        <v>4161</v>
      </c>
      <c r="C871" s="344">
        <v>754</v>
      </c>
      <c r="D871" s="344"/>
      <c r="E871" s="190" t="s">
        <v>435</v>
      </c>
      <c r="F871" s="183" t="s">
        <v>4162</v>
      </c>
      <c r="G871" s="183" t="s">
        <v>4163</v>
      </c>
      <c r="H871" s="184">
        <v>101231151335</v>
      </c>
      <c r="I871" s="185" t="s">
        <v>4164</v>
      </c>
      <c r="J871" s="146"/>
      <c r="K871" s="247"/>
      <c r="L871" s="186">
        <v>44695</v>
      </c>
      <c r="M871" s="530">
        <v>3800000</v>
      </c>
    </row>
    <row r="872" spans="1:13" x14ac:dyDescent="0.25">
      <c r="A872" s="344"/>
      <c r="B872" s="344" t="s">
        <v>4043</v>
      </c>
      <c r="C872" s="344">
        <v>755</v>
      </c>
      <c r="D872" s="344"/>
      <c r="E872" s="190" t="s">
        <v>434</v>
      </c>
      <c r="F872" s="183" t="s">
        <v>1048</v>
      </c>
      <c r="G872" s="183" t="s">
        <v>3486</v>
      </c>
      <c r="H872" s="184">
        <v>103111007962</v>
      </c>
      <c r="I872" s="185" t="s">
        <v>4165</v>
      </c>
      <c r="J872" s="146" t="s">
        <v>4166</v>
      </c>
      <c r="K872" s="247"/>
      <c r="L872" s="186">
        <v>44697</v>
      </c>
      <c r="M872" s="530">
        <v>3600000</v>
      </c>
    </row>
    <row r="873" spans="1:13" x14ac:dyDescent="0.25">
      <c r="A873" s="344"/>
      <c r="B873" s="344" t="s">
        <v>4029</v>
      </c>
      <c r="C873" s="344">
        <v>756</v>
      </c>
      <c r="D873" s="344"/>
      <c r="E873" s="190" t="s">
        <v>28</v>
      </c>
      <c r="F873" s="183" t="s">
        <v>1215</v>
      </c>
      <c r="G873" s="183" t="s">
        <v>3576</v>
      </c>
      <c r="H873" s="184">
        <v>101252158754</v>
      </c>
      <c r="I873" s="185" t="s">
        <v>4167</v>
      </c>
      <c r="J873" s="146" t="s">
        <v>3578</v>
      </c>
      <c r="K873" s="247"/>
      <c r="L873" s="186">
        <v>44698</v>
      </c>
      <c r="M873" s="530">
        <v>3000000</v>
      </c>
    </row>
    <row r="874" spans="1:13" x14ac:dyDescent="0.25">
      <c r="A874" s="344"/>
      <c r="B874" s="344" t="s">
        <v>3539</v>
      </c>
      <c r="C874" s="344">
        <v>757</v>
      </c>
      <c r="D874" s="344"/>
      <c r="E874" s="190" t="s">
        <v>309</v>
      </c>
      <c r="F874" s="183" t="s">
        <v>4168</v>
      </c>
      <c r="G874" s="183" t="s">
        <v>4169</v>
      </c>
      <c r="H874" s="184">
        <v>117031008543</v>
      </c>
      <c r="I874" s="185" t="s">
        <v>4170</v>
      </c>
      <c r="J874" s="146" t="s">
        <v>4171</v>
      </c>
      <c r="K874" s="247"/>
      <c r="L874" s="186">
        <v>44698</v>
      </c>
      <c r="M874" s="530" t="s">
        <v>4172</v>
      </c>
    </row>
    <row r="875" spans="1:13" x14ac:dyDescent="0.25">
      <c r="A875" s="344"/>
      <c r="B875" s="344" t="s">
        <v>4042</v>
      </c>
      <c r="C875" s="344">
        <v>758</v>
      </c>
      <c r="D875" s="344"/>
      <c r="E875" s="190" t="s">
        <v>435</v>
      </c>
      <c r="F875" s="183" t="s">
        <v>3559</v>
      </c>
      <c r="G875" s="183" t="s">
        <v>4173</v>
      </c>
      <c r="H875" s="184" t="s">
        <v>4174</v>
      </c>
      <c r="I875" s="185" t="s">
        <v>4178</v>
      </c>
      <c r="J875" s="146" t="s">
        <v>4175</v>
      </c>
      <c r="K875" s="247"/>
      <c r="L875" s="186">
        <v>44698</v>
      </c>
      <c r="M875" s="530">
        <v>3650000</v>
      </c>
    </row>
    <row r="876" spans="1:13" x14ac:dyDescent="0.25">
      <c r="A876" s="344"/>
      <c r="B876" s="344" t="s">
        <v>4029</v>
      </c>
      <c r="C876" s="344">
        <v>759</v>
      </c>
      <c r="D876" s="344"/>
      <c r="E876" s="190" t="s">
        <v>87</v>
      </c>
      <c r="F876" s="183" t="s">
        <v>4176</v>
      </c>
      <c r="G876" s="183" t="s">
        <v>4177</v>
      </c>
      <c r="H876" s="184">
        <v>118211004221</v>
      </c>
      <c r="I876" s="185" t="s">
        <v>4179</v>
      </c>
      <c r="J876" s="146" t="s">
        <v>4180</v>
      </c>
      <c r="K876" s="247"/>
      <c r="L876" s="186">
        <v>44702</v>
      </c>
      <c r="M876" s="530">
        <v>3000000</v>
      </c>
    </row>
    <row r="877" spans="1:13" x14ac:dyDescent="0.25">
      <c r="A877" s="344"/>
      <c r="B877" s="344" t="s">
        <v>4040</v>
      </c>
      <c r="C877" s="344">
        <v>760</v>
      </c>
      <c r="D877" s="344"/>
      <c r="E877" s="190" t="s">
        <v>435</v>
      </c>
      <c r="F877" s="183" t="s">
        <v>4181</v>
      </c>
      <c r="G877" s="183" t="s">
        <v>4182</v>
      </c>
      <c r="H877" s="184">
        <v>101241087972</v>
      </c>
      <c r="I877" s="185" t="s">
        <v>4183</v>
      </c>
      <c r="J877" s="146" t="s">
        <v>4184</v>
      </c>
      <c r="K877" s="247"/>
      <c r="L877" s="186">
        <v>44702</v>
      </c>
      <c r="M877" s="530">
        <v>3700000</v>
      </c>
    </row>
    <row r="878" spans="1:13" x14ac:dyDescent="0.25">
      <c r="A878" s="344"/>
      <c r="B878" s="344" t="s">
        <v>4185</v>
      </c>
      <c r="C878" s="344">
        <v>761</v>
      </c>
      <c r="D878" s="344"/>
      <c r="E878" s="190" t="s">
        <v>435</v>
      </c>
      <c r="F878" s="183" t="s">
        <v>3945</v>
      </c>
      <c r="G878" s="183" t="s">
        <v>4186</v>
      </c>
      <c r="H878" s="184">
        <v>101251205439</v>
      </c>
      <c r="I878" s="185" t="s">
        <v>4187</v>
      </c>
      <c r="J878" s="146" t="s">
        <v>4188</v>
      </c>
      <c r="K878" s="247"/>
      <c r="L878" s="186">
        <v>44704</v>
      </c>
      <c r="M878" s="530">
        <v>3600000</v>
      </c>
    </row>
    <row r="879" spans="1:13" x14ac:dyDescent="0.25">
      <c r="A879" s="344"/>
      <c r="B879" s="344" t="s">
        <v>4189</v>
      </c>
      <c r="C879" s="344">
        <v>762</v>
      </c>
      <c r="D879" s="344"/>
      <c r="E879" s="190" t="s">
        <v>4190</v>
      </c>
      <c r="F879" s="183" t="s">
        <v>4191</v>
      </c>
      <c r="G879" s="183" t="s">
        <v>4192</v>
      </c>
      <c r="H879" s="184" t="s">
        <v>4193</v>
      </c>
      <c r="I879" s="185" t="s">
        <v>4194</v>
      </c>
      <c r="J879" s="146" t="s">
        <v>4195</v>
      </c>
      <c r="K879" s="247"/>
      <c r="L879" s="186">
        <v>44704</v>
      </c>
      <c r="M879" s="530">
        <v>1200000</v>
      </c>
    </row>
    <row r="880" spans="1:13" x14ac:dyDescent="0.25">
      <c r="A880" s="344"/>
      <c r="B880" s="344" t="s">
        <v>4023</v>
      </c>
      <c r="C880" s="344">
        <v>763</v>
      </c>
      <c r="D880" s="344"/>
      <c r="E880" s="190" t="s">
        <v>435</v>
      </c>
      <c r="F880" s="183" t="s">
        <v>4196</v>
      </c>
      <c r="G880" s="183" t="s">
        <v>4197</v>
      </c>
      <c r="H880" s="184">
        <v>101252193850</v>
      </c>
      <c r="I880" s="185" t="s">
        <v>4198</v>
      </c>
      <c r="J880" s="146" t="s">
        <v>4199</v>
      </c>
      <c r="K880" s="247"/>
      <c r="L880" s="186">
        <v>44704</v>
      </c>
      <c r="M880" s="530" t="s">
        <v>4200</v>
      </c>
    </row>
    <row r="881" spans="1:13" x14ac:dyDescent="0.25">
      <c r="A881" s="344"/>
      <c r="B881" s="344" t="s">
        <v>4201</v>
      </c>
      <c r="C881" s="344">
        <v>764</v>
      </c>
      <c r="D881" s="344"/>
      <c r="E881" s="190" t="s">
        <v>143</v>
      </c>
      <c r="F881" s="183" t="s">
        <v>4202</v>
      </c>
      <c r="G881" s="183" t="s">
        <v>4203</v>
      </c>
      <c r="H881" s="184">
        <v>102031038397</v>
      </c>
      <c r="I881" s="185" t="s">
        <v>4204</v>
      </c>
      <c r="J881" s="146" t="s">
        <v>4205</v>
      </c>
      <c r="K881" s="247"/>
      <c r="L881" s="186">
        <v>44705</v>
      </c>
      <c r="M881" s="530" t="s">
        <v>4206</v>
      </c>
    </row>
    <row r="882" spans="1:13" x14ac:dyDescent="0.25">
      <c r="A882" s="344"/>
      <c r="B882" s="344" t="s">
        <v>4207</v>
      </c>
      <c r="C882" s="344">
        <v>765</v>
      </c>
      <c r="D882" s="344"/>
      <c r="E882" s="190" t="s">
        <v>224</v>
      </c>
      <c r="F882" s="183" t="s">
        <v>4208</v>
      </c>
      <c r="G882" s="183" t="s">
        <v>4209</v>
      </c>
      <c r="H882" s="184">
        <v>117171019442</v>
      </c>
      <c r="I882" s="185" t="s">
        <v>4210</v>
      </c>
      <c r="J882" s="146" t="s">
        <v>4211</v>
      </c>
      <c r="K882" s="247"/>
      <c r="L882" s="186">
        <v>44705</v>
      </c>
      <c r="M882" s="530">
        <v>2700000</v>
      </c>
    </row>
    <row r="883" spans="1:13" x14ac:dyDescent="0.25">
      <c r="A883" s="344"/>
      <c r="B883" s="344" t="s">
        <v>4057</v>
      </c>
      <c r="C883" s="344">
        <v>766</v>
      </c>
      <c r="D883" s="344"/>
      <c r="E883" s="190" t="s">
        <v>224</v>
      </c>
      <c r="F883" s="183" t="s">
        <v>4212</v>
      </c>
      <c r="G883" s="183" t="s">
        <v>4213</v>
      </c>
      <c r="H883" s="184">
        <v>101251148460</v>
      </c>
      <c r="I883" s="185" t="s">
        <v>4214</v>
      </c>
      <c r="J883" s="146" t="s">
        <v>4215</v>
      </c>
      <c r="K883" s="247"/>
      <c r="L883" s="186">
        <v>44706</v>
      </c>
      <c r="M883" s="530">
        <v>2400000</v>
      </c>
    </row>
    <row r="884" spans="1:13" x14ac:dyDescent="0.25">
      <c r="A884" s="344"/>
      <c r="B884" s="344" t="s">
        <v>3613</v>
      </c>
      <c r="C884" s="344">
        <v>767</v>
      </c>
      <c r="D884" s="344"/>
      <c r="E884" s="190" t="s">
        <v>787</v>
      </c>
      <c r="F884" s="183" t="s">
        <v>1557</v>
      </c>
      <c r="G884" s="183" t="s">
        <v>4216</v>
      </c>
      <c r="H884" s="184">
        <v>313011012486</v>
      </c>
      <c r="I884" s="185" t="s">
        <v>4217</v>
      </c>
      <c r="J884" s="146" t="s">
        <v>4218</v>
      </c>
      <c r="K884" s="247"/>
      <c r="L884" s="186">
        <v>44707</v>
      </c>
      <c r="M884" s="530">
        <v>7000000</v>
      </c>
    </row>
    <row r="885" spans="1:13" x14ac:dyDescent="0.25">
      <c r="A885" s="344"/>
      <c r="B885" s="344" t="s">
        <v>4055</v>
      </c>
      <c r="C885" s="344">
        <v>768</v>
      </c>
      <c r="D885" s="344"/>
      <c r="E885" s="190" t="s">
        <v>224</v>
      </c>
      <c r="F885" s="183" t="s">
        <v>63</v>
      </c>
      <c r="G885" s="183" t="s">
        <v>4219</v>
      </c>
      <c r="H885" s="184">
        <v>203131007833</v>
      </c>
      <c r="I885" s="185" t="s">
        <v>4220</v>
      </c>
      <c r="J885" s="146" t="s">
        <v>4221</v>
      </c>
      <c r="K885" s="247"/>
      <c r="L885" s="186">
        <v>44707</v>
      </c>
      <c r="M885" s="530">
        <v>2800000</v>
      </c>
    </row>
    <row r="886" spans="1:13" x14ac:dyDescent="0.25">
      <c r="A886" s="344"/>
      <c r="B886" s="344" t="s">
        <v>4222</v>
      </c>
      <c r="C886" s="344">
        <v>769</v>
      </c>
      <c r="D886" s="344"/>
      <c r="E886" s="190" t="s">
        <v>87</v>
      </c>
      <c r="F886" s="183" t="s">
        <v>4223</v>
      </c>
      <c r="G886" s="183" t="s">
        <v>4224</v>
      </c>
      <c r="H886" s="184">
        <v>301051002750</v>
      </c>
      <c r="I886" s="185" t="s">
        <v>4225</v>
      </c>
      <c r="J886" s="146" t="s">
        <v>4226</v>
      </c>
      <c r="K886" s="247"/>
      <c r="L886" s="186">
        <v>44707</v>
      </c>
      <c r="M886" s="530">
        <v>2870000</v>
      </c>
    </row>
    <row r="887" spans="1:13" x14ac:dyDescent="0.25">
      <c r="A887" s="344"/>
      <c r="B887" s="344" t="s">
        <v>4227</v>
      </c>
      <c r="C887" s="344">
        <v>770</v>
      </c>
      <c r="D887" s="344"/>
      <c r="E887" s="190" t="s">
        <v>4228</v>
      </c>
      <c r="F887" s="183" t="s">
        <v>2118</v>
      </c>
      <c r="G887" s="183" t="s">
        <v>4229</v>
      </c>
      <c r="H887" s="184">
        <v>102072011549</v>
      </c>
      <c r="I887" s="185" t="s">
        <v>4230</v>
      </c>
      <c r="J887" s="146" t="s">
        <v>4231</v>
      </c>
      <c r="K887" s="247"/>
      <c r="L887" s="186">
        <v>44708</v>
      </c>
      <c r="M887" s="530">
        <v>1200000</v>
      </c>
    </row>
    <row r="888" spans="1:13" x14ac:dyDescent="0.25">
      <c r="A888" s="344"/>
      <c r="B888" s="344" t="s">
        <v>4232</v>
      </c>
      <c r="C888" s="344">
        <v>771</v>
      </c>
      <c r="D888" s="344"/>
      <c r="E888" s="190" t="s">
        <v>936</v>
      </c>
      <c r="F888" s="183" t="s">
        <v>864</v>
      </c>
      <c r="G888" s="183" t="s">
        <v>4233</v>
      </c>
      <c r="H888" s="184">
        <v>101222132768</v>
      </c>
      <c r="I888" s="185" t="s">
        <v>4234</v>
      </c>
      <c r="J888" s="146" t="s">
        <v>4235</v>
      </c>
      <c r="K888" s="247"/>
      <c r="L888" s="186">
        <v>44708</v>
      </c>
      <c r="M888" s="530">
        <v>7000000</v>
      </c>
    </row>
    <row r="889" spans="1:13" x14ac:dyDescent="0.25">
      <c r="A889" s="344"/>
      <c r="B889" s="344" t="s">
        <v>4239</v>
      </c>
      <c r="C889" s="344">
        <v>772</v>
      </c>
      <c r="D889" s="344"/>
      <c r="E889" s="190" t="s">
        <v>1433</v>
      </c>
      <c r="F889" s="183" t="s">
        <v>1060</v>
      </c>
      <c r="G889" s="183" t="s">
        <v>4236</v>
      </c>
      <c r="H889" s="184">
        <v>102071031091</v>
      </c>
      <c r="I889" s="185" t="s">
        <v>4237</v>
      </c>
      <c r="J889" s="146" t="s">
        <v>4238</v>
      </c>
      <c r="K889" s="247"/>
      <c r="L889" s="186">
        <v>44708</v>
      </c>
      <c r="M889" s="530">
        <v>2100000</v>
      </c>
    </row>
    <row r="890" spans="1:13" x14ac:dyDescent="0.25">
      <c r="A890" s="344"/>
      <c r="B890" s="344" t="s">
        <v>4240</v>
      </c>
      <c r="C890" s="344">
        <v>773</v>
      </c>
      <c r="D890" s="344"/>
      <c r="E890" s="190" t="s">
        <v>4241</v>
      </c>
      <c r="F890" s="183" t="s">
        <v>4242</v>
      </c>
      <c r="G890" s="183" t="s">
        <v>4243</v>
      </c>
      <c r="H890" s="184">
        <v>101251199171</v>
      </c>
      <c r="I890" s="185" t="s">
        <v>4244</v>
      </c>
      <c r="J890" s="146" t="s">
        <v>1988</v>
      </c>
      <c r="K890" s="247"/>
      <c r="L890" s="186">
        <v>44709</v>
      </c>
      <c r="M890" s="530">
        <v>2000000</v>
      </c>
    </row>
    <row r="891" spans="1:13" x14ac:dyDescent="0.25">
      <c r="A891" s="344"/>
      <c r="B891" s="344" t="s">
        <v>4248</v>
      </c>
      <c r="C891" s="344">
        <v>774</v>
      </c>
      <c r="D891" s="344"/>
      <c r="E891" s="190" t="s">
        <v>435</v>
      </c>
      <c r="F891" s="183" t="s">
        <v>1006</v>
      </c>
      <c r="G891" s="183" t="s">
        <v>4283</v>
      </c>
      <c r="H891" s="184">
        <v>102011003477</v>
      </c>
      <c r="I891" s="185" t="s">
        <v>4284</v>
      </c>
      <c r="J891" s="146" t="s">
        <v>1374</v>
      </c>
      <c r="K891" s="247"/>
      <c r="L891" s="186">
        <v>44713</v>
      </c>
      <c r="M891" s="530">
        <v>3800000</v>
      </c>
    </row>
    <row r="892" spans="1:13" x14ac:dyDescent="0.25">
      <c r="A892" s="344"/>
      <c r="B892" s="344" t="s">
        <v>4247</v>
      </c>
      <c r="C892" s="344">
        <v>775</v>
      </c>
      <c r="D892" s="344"/>
      <c r="E892" s="190" t="s">
        <v>435</v>
      </c>
      <c r="F892" s="183" t="s">
        <v>4285</v>
      </c>
      <c r="G892" s="183" t="s">
        <v>4286</v>
      </c>
      <c r="H892" s="184">
        <v>101231096687</v>
      </c>
      <c r="I892" s="185" t="s">
        <v>4287</v>
      </c>
      <c r="J892" s="146" t="s">
        <v>4288</v>
      </c>
      <c r="K892" s="247"/>
      <c r="L892" s="186">
        <v>44714</v>
      </c>
      <c r="M892" s="530">
        <v>3800000</v>
      </c>
    </row>
    <row r="893" spans="1:13" x14ac:dyDescent="0.25">
      <c r="A893" s="344"/>
      <c r="B893" s="344" t="s">
        <v>4246</v>
      </c>
      <c r="C893" s="344">
        <v>776</v>
      </c>
      <c r="D893" s="344"/>
      <c r="E893" s="190" t="s">
        <v>435</v>
      </c>
      <c r="F893" s="183" t="s">
        <v>4289</v>
      </c>
      <c r="G893" s="183" t="s">
        <v>4290</v>
      </c>
      <c r="H893" s="184">
        <v>101251186473</v>
      </c>
      <c r="I893" s="185" t="s">
        <v>4291</v>
      </c>
      <c r="J893" s="146" t="s">
        <v>4292</v>
      </c>
      <c r="K893" s="247"/>
      <c r="L893" s="186">
        <v>44716</v>
      </c>
      <c r="M893" s="530">
        <v>4150000</v>
      </c>
    </row>
    <row r="894" spans="1:13" x14ac:dyDescent="0.25">
      <c r="A894" s="344"/>
      <c r="B894" s="344" t="s">
        <v>4293</v>
      </c>
      <c r="C894" s="344">
        <v>777</v>
      </c>
      <c r="D894" s="344"/>
      <c r="E894" s="190" t="s">
        <v>936</v>
      </c>
      <c r="F894" s="183" t="s">
        <v>4294</v>
      </c>
      <c r="G894" s="183" t="s">
        <v>4295</v>
      </c>
      <c r="H894" s="184">
        <v>301011011282</v>
      </c>
      <c r="I894" s="185" t="s">
        <v>4296</v>
      </c>
      <c r="J894" s="146" t="s">
        <v>4297</v>
      </c>
      <c r="K894" s="247"/>
      <c r="L894" s="186">
        <v>44716</v>
      </c>
      <c r="M894" s="530">
        <v>6600000</v>
      </c>
    </row>
    <row r="895" spans="1:13" x14ac:dyDescent="0.25">
      <c r="A895" s="344"/>
      <c r="B895" s="344" t="s">
        <v>4298</v>
      </c>
      <c r="C895" s="344">
        <v>778</v>
      </c>
      <c r="D895" s="344"/>
      <c r="E895" s="190" t="s">
        <v>435</v>
      </c>
      <c r="F895" s="183" t="s">
        <v>4299</v>
      </c>
      <c r="G895" s="183" t="s">
        <v>4300</v>
      </c>
      <c r="H895" s="184">
        <v>103131009394</v>
      </c>
      <c r="I895" s="185" t="s">
        <v>4301</v>
      </c>
      <c r="J895" s="146" t="s">
        <v>4302</v>
      </c>
      <c r="K895" s="247"/>
      <c r="L895" s="186">
        <v>44721</v>
      </c>
      <c r="M895" s="530">
        <v>4700000</v>
      </c>
    </row>
    <row r="896" spans="1:13" x14ac:dyDescent="0.25">
      <c r="A896" s="344"/>
      <c r="B896" s="344" t="s">
        <v>4303</v>
      </c>
      <c r="C896" s="344">
        <v>779</v>
      </c>
      <c r="D896" s="344"/>
      <c r="E896" s="190" t="s">
        <v>435</v>
      </c>
      <c r="F896" s="183" t="s">
        <v>4304</v>
      </c>
      <c r="G896" s="183" t="s">
        <v>4305</v>
      </c>
      <c r="H896" s="184">
        <v>111271008572</v>
      </c>
      <c r="I896" s="185" t="s">
        <v>4306</v>
      </c>
      <c r="J896" s="146" t="s">
        <v>4307</v>
      </c>
      <c r="K896" s="247"/>
      <c r="L896" s="186">
        <v>44723</v>
      </c>
      <c r="M896" s="530">
        <v>3500000</v>
      </c>
    </row>
    <row r="897" spans="1:13" x14ac:dyDescent="0.25">
      <c r="A897" s="344"/>
      <c r="B897" s="344" t="s">
        <v>4051</v>
      </c>
      <c r="C897" s="344">
        <v>780</v>
      </c>
      <c r="D897" s="344"/>
      <c r="E897" s="190" t="s">
        <v>224</v>
      </c>
      <c r="F897" s="183" t="s">
        <v>2542</v>
      </c>
      <c r="G897" s="183" t="s">
        <v>4308</v>
      </c>
      <c r="H897" s="184">
        <v>101251216743</v>
      </c>
      <c r="I897" s="185" t="s">
        <v>4309</v>
      </c>
      <c r="J897" s="146" t="s">
        <v>4310</v>
      </c>
      <c r="K897" s="247"/>
      <c r="L897" s="186">
        <v>44723</v>
      </c>
      <c r="M897" s="530">
        <v>2200000</v>
      </c>
    </row>
    <row r="898" spans="1:13" x14ac:dyDescent="0.25">
      <c r="A898" s="344"/>
      <c r="B898" s="344" t="s">
        <v>2871</v>
      </c>
      <c r="C898" s="344">
        <v>781</v>
      </c>
      <c r="D898" s="344"/>
      <c r="E898" s="190" t="s">
        <v>435</v>
      </c>
      <c r="F898" s="183" t="s">
        <v>78</v>
      </c>
      <c r="G898" s="183" t="s">
        <v>4311</v>
      </c>
      <c r="H898" s="184">
        <v>711991031278</v>
      </c>
      <c r="I898" s="185" t="s">
        <v>4312</v>
      </c>
      <c r="J898" s="146" t="s">
        <v>4313</v>
      </c>
      <c r="K898" s="247"/>
      <c r="L898" s="186">
        <v>44725</v>
      </c>
      <c r="M898" s="530">
        <v>3800000</v>
      </c>
    </row>
    <row r="899" spans="1:13" x14ac:dyDescent="0.25">
      <c r="A899" s="344"/>
      <c r="B899" s="344" t="s">
        <v>4314</v>
      </c>
      <c r="C899" s="344">
        <v>782</v>
      </c>
      <c r="D899" s="344"/>
      <c r="E899" s="190" t="s">
        <v>1433</v>
      </c>
      <c r="F899" s="183" t="s">
        <v>1060</v>
      </c>
      <c r="G899" s="183" t="s">
        <v>4315</v>
      </c>
      <c r="H899" s="184">
        <v>117271006417</v>
      </c>
      <c r="I899" s="185" t="s">
        <v>4316</v>
      </c>
      <c r="J899" s="146" t="s">
        <v>4317</v>
      </c>
      <c r="K899" s="247"/>
      <c r="L899" s="186">
        <v>44728</v>
      </c>
      <c r="M899" s="530">
        <v>1800000</v>
      </c>
    </row>
    <row r="900" spans="1:13" x14ac:dyDescent="0.25">
      <c r="A900" s="344"/>
      <c r="B900" s="344" t="s">
        <v>3010</v>
      </c>
      <c r="C900" s="344">
        <v>783</v>
      </c>
      <c r="D900" s="344"/>
      <c r="E900" s="190" t="s">
        <v>435</v>
      </c>
      <c r="F900" s="183" t="s">
        <v>4318</v>
      </c>
      <c r="G900" s="183" t="s">
        <v>4319</v>
      </c>
      <c r="H900" s="184">
        <v>101241064099</v>
      </c>
      <c r="I900" s="185" t="s">
        <v>4320</v>
      </c>
      <c r="J900" s="146" t="s">
        <v>4321</v>
      </c>
      <c r="K900" s="247"/>
      <c r="L900" s="186">
        <v>44728</v>
      </c>
      <c r="M900" s="530">
        <v>3200000</v>
      </c>
    </row>
    <row r="901" spans="1:13" x14ac:dyDescent="0.25">
      <c r="A901" s="344"/>
      <c r="B901" s="344" t="s">
        <v>4322</v>
      </c>
      <c r="C901" s="344">
        <v>784</v>
      </c>
      <c r="D901" s="344"/>
      <c r="E901" s="190" t="s">
        <v>435</v>
      </c>
      <c r="F901" s="183" t="s">
        <v>4323</v>
      </c>
      <c r="G901" s="183" t="s">
        <v>4324</v>
      </c>
      <c r="H901" s="184">
        <v>220371002803</v>
      </c>
      <c r="I901" s="185" t="s">
        <v>4325</v>
      </c>
      <c r="J901" s="146" t="s">
        <v>4326</v>
      </c>
      <c r="K901" s="247"/>
      <c r="L901" s="186">
        <v>44728</v>
      </c>
      <c r="M901" s="530">
        <v>4070000</v>
      </c>
    </row>
    <row r="902" spans="1:13" x14ac:dyDescent="0.25">
      <c r="A902" s="344"/>
      <c r="B902" s="344" t="s">
        <v>4039</v>
      </c>
      <c r="C902" s="344">
        <v>785</v>
      </c>
      <c r="D902" s="344"/>
      <c r="E902" s="190" t="s">
        <v>435</v>
      </c>
      <c r="F902" s="183" t="s">
        <v>4327</v>
      </c>
      <c r="G902" s="183" t="s">
        <v>4328</v>
      </c>
      <c r="H902" s="184">
        <v>101252143827</v>
      </c>
      <c r="I902" s="185" t="s">
        <v>4329</v>
      </c>
      <c r="J902" s="146" t="s">
        <v>4330</v>
      </c>
      <c r="K902" s="247"/>
      <c r="L902" s="186">
        <v>44729</v>
      </c>
      <c r="M902" s="530">
        <v>3530000</v>
      </c>
    </row>
    <row r="903" spans="1:13" x14ac:dyDescent="0.25">
      <c r="A903" s="344"/>
      <c r="B903" s="344" t="s">
        <v>4253</v>
      </c>
      <c r="C903" s="344">
        <v>786</v>
      </c>
      <c r="D903" s="344"/>
      <c r="E903" s="190" t="s">
        <v>87</v>
      </c>
      <c r="F903" s="183" t="s">
        <v>937</v>
      </c>
      <c r="G903" s="183" t="s">
        <v>1087</v>
      </c>
      <c r="H903" s="184">
        <v>101981064251</v>
      </c>
      <c r="I903" s="185" t="s">
        <v>1088</v>
      </c>
      <c r="J903" s="146" t="s">
        <v>1089</v>
      </c>
      <c r="K903" s="247"/>
      <c r="L903" s="186">
        <v>44729</v>
      </c>
      <c r="M903" s="530">
        <v>3300000</v>
      </c>
    </row>
    <row r="904" spans="1:13" x14ac:dyDescent="0.25">
      <c r="A904" s="344"/>
      <c r="B904" s="344" t="s">
        <v>4054</v>
      </c>
      <c r="C904" s="344">
        <v>787</v>
      </c>
      <c r="D904" s="344"/>
      <c r="E904" s="190" t="s">
        <v>224</v>
      </c>
      <c r="F904" s="183" t="s">
        <v>4331</v>
      </c>
      <c r="G904" s="183" t="s">
        <v>4332</v>
      </c>
      <c r="H904" s="184">
        <v>101231057585</v>
      </c>
      <c r="I904" s="185" t="s">
        <v>4333</v>
      </c>
      <c r="J904" s="146" t="s">
        <v>4334</v>
      </c>
      <c r="K904" s="247"/>
      <c r="L904" s="186">
        <v>44729</v>
      </c>
      <c r="M904" s="530">
        <v>2170000</v>
      </c>
    </row>
    <row r="905" spans="1:13" x14ac:dyDescent="0.25">
      <c r="A905" s="344"/>
      <c r="B905" s="344" t="s">
        <v>4335</v>
      </c>
      <c r="C905" s="344">
        <v>788</v>
      </c>
      <c r="D905" s="344"/>
      <c r="E905" s="190" t="s">
        <v>1109</v>
      </c>
      <c r="F905" s="183" t="s">
        <v>4336</v>
      </c>
      <c r="G905" s="183" t="s">
        <v>4337</v>
      </c>
      <c r="H905" s="184">
        <v>101231125387</v>
      </c>
      <c r="I905" s="185" t="s">
        <v>4338</v>
      </c>
      <c r="J905" s="146" t="s">
        <v>4339</v>
      </c>
      <c r="K905" s="247"/>
      <c r="L905" s="186">
        <v>44730</v>
      </c>
      <c r="M905" s="530">
        <v>2600000</v>
      </c>
    </row>
    <row r="906" spans="1:13" x14ac:dyDescent="0.25">
      <c r="A906" s="344"/>
      <c r="B906" s="344" t="s">
        <v>4340</v>
      </c>
      <c r="C906" s="344">
        <v>789</v>
      </c>
      <c r="D906" s="344"/>
      <c r="E906" s="190" t="s">
        <v>309</v>
      </c>
      <c r="F906" s="183" t="s">
        <v>4341</v>
      </c>
      <c r="G906" s="183" t="s">
        <v>4342</v>
      </c>
      <c r="H906" s="184">
        <v>101251105679</v>
      </c>
      <c r="I906" s="185" t="s">
        <v>4343</v>
      </c>
      <c r="J906" s="146" t="s">
        <v>4344</v>
      </c>
      <c r="K906" s="247"/>
      <c r="L906" s="186">
        <v>44732</v>
      </c>
      <c r="M906" s="530">
        <v>4500000</v>
      </c>
    </row>
    <row r="907" spans="1:13" x14ac:dyDescent="0.25">
      <c r="A907" s="344"/>
      <c r="B907" s="344" t="s">
        <v>4258</v>
      </c>
      <c r="C907" s="344">
        <v>790</v>
      </c>
      <c r="D907" s="344"/>
      <c r="E907" s="190" t="s">
        <v>1433</v>
      </c>
      <c r="F907" s="183" t="s">
        <v>4349</v>
      </c>
      <c r="G907" s="183" t="s">
        <v>4346</v>
      </c>
      <c r="H907" s="184">
        <v>102011025786</v>
      </c>
      <c r="I907" s="185" t="s">
        <v>4347</v>
      </c>
      <c r="J907" s="146" t="s">
        <v>4348</v>
      </c>
      <c r="K907" s="247"/>
      <c r="L907" s="186">
        <v>44732</v>
      </c>
      <c r="M907" s="530">
        <v>1700000</v>
      </c>
    </row>
    <row r="908" spans="1:13" x14ac:dyDescent="0.25">
      <c r="A908" s="344"/>
      <c r="B908" s="344" t="s">
        <v>4041</v>
      </c>
      <c r="C908" s="344">
        <v>791</v>
      </c>
      <c r="D908" s="344"/>
      <c r="E908" s="190" t="s">
        <v>435</v>
      </c>
      <c r="F908" s="183" t="s">
        <v>4350</v>
      </c>
      <c r="G908" s="183" t="s">
        <v>4351</v>
      </c>
      <c r="H908" s="184">
        <v>101251094829</v>
      </c>
      <c r="I908" s="185" t="s">
        <v>4352</v>
      </c>
      <c r="J908" s="146" t="s">
        <v>4353</v>
      </c>
      <c r="K908" s="247"/>
      <c r="L908" s="186">
        <v>44733</v>
      </c>
      <c r="M908" s="530">
        <v>3200000</v>
      </c>
    </row>
    <row r="909" spans="1:13" x14ac:dyDescent="0.25">
      <c r="A909" s="344"/>
      <c r="B909" s="344" t="s">
        <v>4262</v>
      </c>
      <c r="C909" s="344">
        <v>792</v>
      </c>
      <c r="D909" s="344"/>
      <c r="E909" s="190" t="s">
        <v>435</v>
      </c>
      <c r="F909" s="183" t="s">
        <v>4354</v>
      </c>
      <c r="G909" s="183" t="s">
        <v>4355</v>
      </c>
      <c r="H909" s="184">
        <v>101231102964</v>
      </c>
      <c r="I909" s="185" t="s">
        <v>4356</v>
      </c>
      <c r="J909" s="146" t="s">
        <v>4357</v>
      </c>
      <c r="K909" s="247"/>
      <c r="L909" s="186">
        <v>44733</v>
      </c>
      <c r="M909" s="530">
        <v>3900000</v>
      </c>
    </row>
    <row r="910" spans="1:13" x14ac:dyDescent="0.25">
      <c r="A910" s="344"/>
      <c r="B910" s="344" t="s">
        <v>1680</v>
      </c>
      <c r="C910" s="344">
        <v>793</v>
      </c>
      <c r="D910" s="344"/>
      <c r="E910" s="190" t="s">
        <v>435</v>
      </c>
      <c r="F910" s="183" t="s">
        <v>4358</v>
      </c>
      <c r="G910" s="183" t="s">
        <v>4359</v>
      </c>
      <c r="H910" s="184">
        <v>102071000001</v>
      </c>
      <c r="I910" s="185" t="s">
        <v>4360</v>
      </c>
      <c r="J910" s="146" t="s">
        <v>4361</v>
      </c>
      <c r="K910" s="247"/>
      <c r="L910" s="186">
        <v>44733</v>
      </c>
      <c r="M910" s="530">
        <v>3800000</v>
      </c>
    </row>
    <row r="911" spans="1:13" x14ac:dyDescent="0.25">
      <c r="A911" s="344"/>
      <c r="B911" s="344" t="s">
        <v>4257</v>
      </c>
      <c r="C911" s="344">
        <v>794</v>
      </c>
      <c r="D911" s="344"/>
      <c r="E911" s="190" t="s">
        <v>4362</v>
      </c>
      <c r="F911" s="183" t="s">
        <v>4363</v>
      </c>
      <c r="G911" s="183" t="s">
        <v>4364</v>
      </c>
      <c r="H911" s="184">
        <v>102091022341</v>
      </c>
      <c r="I911" s="185" t="s">
        <v>4365</v>
      </c>
      <c r="J911" s="146" t="s">
        <v>4366</v>
      </c>
      <c r="K911" s="247"/>
      <c r="L911" s="186">
        <v>44734</v>
      </c>
      <c r="M911" s="530">
        <v>1700000</v>
      </c>
    </row>
    <row r="912" spans="1:13" x14ac:dyDescent="0.25">
      <c r="A912" s="344"/>
      <c r="B912" s="344" t="s">
        <v>4367</v>
      </c>
      <c r="C912" s="344">
        <v>795</v>
      </c>
      <c r="D912" s="344"/>
      <c r="E912" s="190" t="s">
        <v>224</v>
      </c>
      <c r="F912" s="183" t="s">
        <v>4368</v>
      </c>
      <c r="G912" s="183" t="s">
        <v>4369</v>
      </c>
      <c r="H912" s="184">
        <v>101212166397</v>
      </c>
      <c r="I912" s="185" t="s">
        <v>4370</v>
      </c>
      <c r="J912" s="146" t="s">
        <v>4371</v>
      </c>
      <c r="K912" s="247"/>
      <c r="L912" s="186">
        <v>44735</v>
      </c>
      <c r="M912" s="530">
        <v>2600000</v>
      </c>
    </row>
    <row r="913" spans="1:13" x14ac:dyDescent="0.25">
      <c r="A913" s="344"/>
      <c r="B913" s="344" t="s">
        <v>4372</v>
      </c>
      <c r="C913" s="344">
        <v>796</v>
      </c>
      <c r="D913" s="344"/>
      <c r="E913" s="190" t="s">
        <v>224</v>
      </c>
      <c r="F913" s="183" t="s">
        <v>4373</v>
      </c>
      <c r="G913" s="183" t="s">
        <v>4374</v>
      </c>
      <c r="H913" s="184">
        <v>316011013614</v>
      </c>
      <c r="I913" s="185" t="s">
        <v>4375</v>
      </c>
      <c r="J913" s="146" t="s">
        <v>4376</v>
      </c>
      <c r="K913" s="247"/>
      <c r="L913" s="186">
        <v>44737</v>
      </c>
      <c r="M913" s="530">
        <v>2700000</v>
      </c>
    </row>
    <row r="914" spans="1:13" x14ac:dyDescent="0.25">
      <c r="A914" s="344"/>
      <c r="B914" s="344" t="s">
        <v>4048</v>
      </c>
      <c r="C914" s="344">
        <v>797</v>
      </c>
      <c r="D914" s="344"/>
      <c r="E914" s="190" t="s">
        <v>224</v>
      </c>
      <c r="F914" s="183" t="s">
        <v>4377</v>
      </c>
      <c r="G914" s="183" t="s">
        <v>4378</v>
      </c>
      <c r="H914" s="184">
        <v>101251137056</v>
      </c>
      <c r="I914" s="185" t="s">
        <v>4379</v>
      </c>
      <c r="J914" s="146" t="s">
        <v>4380</v>
      </c>
      <c r="K914" s="247"/>
      <c r="L914" s="186">
        <v>44737</v>
      </c>
      <c r="M914" s="530">
        <v>2400000</v>
      </c>
    </row>
    <row r="915" spans="1:13" x14ac:dyDescent="0.25">
      <c r="A915" s="344"/>
      <c r="B915" s="344" t="s">
        <v>4381</v>
      </c>
      <c r="C915" s="344">
        <v>798</v>
      </c>
      <c r="D915" s="344"/>
      <c r="E915" s="190" t="s">
        <v>435</v>
      </c>
      <c r="F915" s="183" t="s">
        <v>4382</v>
      </c>
      <c r="G915" s="183" t="s">
        <v>2584</v>
      </c>
      <c r="H915" s="184">
        <v>101251102391</v>
      </c>
      <c r="I915" s="185" t="s">
        <v>4383</v>
      </c>
      <c r="J915" s="146" t="s">
        <v>4384</v>
      </c>
      <c r="K915" s="247"/>
      <c r="L915" s="186">
        <v>44741</v>
      </c>
      <c r="M915" s="530">
        <v>3800000</v>
      </c>
    </row>
    <row r="916" spans="1:13" x14ac:dyDescent="0.25">
      <c r="A916" s="344"/>
      <c r="B916" s="344" t="s">
        <v>4385</v>
      </c>
      <c r="C916" s="344">
        <v>799</v>
      </c>
      <c r="D916" s="344"/>
      <c r="E916" s="190" t="s">
        <v>4386</v>
      </c>
      <c r="F916" s="183" t="s">
        <v>884</v>
      </c>
      <c r="G916" s="183" t="s">
        <v>4387</v>
      </c>
      <c r="H916" s="184">
        <v>102071012722</v>
      </c>
      <c r="I916" s="185" t="s">
        <v>4388</v>
      </c>
      <c r="J916" s="146" t="s">
        <v>4389</v>
      </c>
      <c r="K916" s="247"/>
      <c r="L916" s="186">
        <v>44741</v>
      </c>
      <c r="M916" s="530">
        <v>2700000</v>
      </c>
    </row>
    <row r="917" spans="1:13" x14ac:dyDescent="0.25">
      <c r="A917" s="344"/>
      <c r="B917" s="344" t="s">
        <v>4251</v>
      </c>
      <c r="C917" s="344">
        <v>800</v>
      </c>
      <c r="D917" s="344"/>
      <c r="E917" s="190" t="s">
        <v>435</v>
      </c>
      <c r="F917" s="183" t="s">
        <v>4390</v>
      </c>
      <c r="G917" s="183" t="s">
        <v>4391</v>
      </c>
      <c r="H917" s="184">
        <v>101251191005</v>
      </c>
      <c r="I917" s="185" t="s">
        <v>4392</v>
      </c>
      <c r="J917" s="146" t="s">
        <v>4393</v>
      </c>
      <c r="K917" s="247"/>
      <c r="L917" s="186">
        <v>44744</v>
      </c>
      <c r="M917" s="530">
        <v>4050000</v>
      </c>
    </row>
    <row r="918" spans="1:13" x14ac:dyDescent="0.25">
      <c r="A918" s="344"/>
      <c r="B918" s="344" t="s">
        <v>4394</v>
      </c>
      <c r="C918" s="344">
        <v>801</v>
      </c>
      <c r="D918" s="344"/>
      <c r="E918" s="190" t="s">
        <v>435</v>
      </c>
      <c r="F918" s="183" t="s">
        <v>4395</v>
      </c>
      <c r="G918" s="183" t="s">
        <v>4396</v>
      </c>
      <c r="H918" s="184">
        <v>313011025818</v>
      </c>
      <c r="I918" s="185" t="s">
        <v>4397</v>
      </c>
      <c r="J918" s="146" t="s">
        <v>4398</v>
      </c>
      <c r="K918" s="247"/>
      <c r="L918" s="186">
        <v>44744</v>
      </c>
      <c r="M918" s="530">
        <v>3500000</v>
      </c>
    </row>
    <row r="919" spans="1:13" x14ac:dyDescent="0.25">
      <c r="A919" s="344"/>
      <c r="B919" s="344" t="s">
        <v>4255</v>
      </c>
      <c r="C919" s="344">
        <v>802</v>
      </c>
      <c r="D919" s="344"/>
      <c r="E919" s="190" t="s">
        <v>87</v>
      </c>
      <c r="F919" s="183" t="s">
        <v>2842</v>
      </c>
      <c r="G919" s="183" t="s">
        <v>4399</v>
      </c>
      <c r="H919" s="184">
        <v>102031010419</v>
      </c>
      <c r="I919" s="185" t="s">
        <v>4402</v>
      </c>
      <c r="J919" s="146" t="s">
        <v>4403</v>
      </c>
      <c r="K919" s="247"/>
      <c r="L919" s="186">
        <v>44744</v>
      </c>
      <c r="M919" s="530">
        <v>2920000</v>
      </c>
    </row>
    <row r="920" spans="1:13" x14ac:dyDescent="0.25">
      <c r="A920" s="344"/>
      <c r="B920" s="344" t="s">
        <v>3365</v>
      </c>
      <c r="C920" s="344">
        <v>803</v>
      </c>
      <c r="D920" s="344"/>
      <c r="E920" s="190" t="s">
        <v>28</v>
      </c>
      <c r="F920" s="183" t="s">
        <v>4400</v>
      </c>
      <c r="G920" s="183" t="s">
        <v>4401</v>
      </c>
      <c r="H920" s="184">
        <v>103131017755</v>
      </c>
      <c r="I920" s="185" t="s">
        <v>4404</v>
      </c>
      <c r="J920" s="146" t="s">
        <v>4405</v>
      </c>
      <c r="K920" s="247"/>
      <c r="L920" s="186">
        <v>44746</v>
      </c>
      <c r="M920" s="530">
        <v>3000000</v>
      </c>
    </row>
    <row r="921" spans="1:13" x14ac:dyDescent="0.25">
      <c r="A921" s="344"/>
      <c r="B921" s="344" t="s">
        <v>4406</v>
      </c>
      <c r="C921" s="344">
        <v>804</v>
      </c>
      <c r="D921" s="344"/>
      <c r="E921" s="190" t="s">
        <v>4407</v>
      </c>
      <c r="F921" s="183" t="s">
        <v>4408</v>
      </c>
      <c r="G921" s="183" t="s">
        <v>4409</v>
      </c>
      <c r="H921" s="184">
        <v>101231167403</v>
      </c>
      <c r="I921" s="185" t="s">
        <v>4410</v>
      </c>
      <c r="J921" s="146" t="s">
        <v>4411</v>
      </c>
      <c r="K921" s="247"/>
      <c r="L921" s="186">
        <v>44748</v>
      </c>
      <c r="M921" s="530">
        <v>4800000</v>
      </c>
    </row>
    <row r="922" spans="1:13" x14ac:dyDescent="0.25">
      <c r="A922" s="344"/>
      <c r="B922" s="344" t="s">
        <v>4256</v>
      </c>
      <c r="C922" s="344">
        <v>805</v>
      </c>
      <c r="D922" s="344"/>
      <c r="E922" s="190" t="s">
        <v>87</v>
      </c>
      <c r="F922" s="183" t="s">
        <v>884</v>
      </c>
      <c r="G922" s="183" t="s">
        <v>4412</v>
      </c>
      <c r="H922" s="184">
        <v>117351006424</v>
      </c>
      <c r="I922" s="185" t="s">
        <v>4413</v>
      </c>
      <c r="J922" s="146" t="s">
        <v>4414</v>
      </c>
      <c r="K922" s="247"/>
      <c r="L922" s="186">
        <v>44748</v>
      </c>
      <c r="M922" s="530">
        <v>2700000</v>
      </c>
    </row>
    <row r="923" spans="1:13" x14ac:dyDescent="0.25">
      <c r="A923" s="344"/>
      <c r="B923" s="344" t="s">
        <v>4415</v>
      </c>
      <c r="C923" s="344">
        <v>806</v>
      </c>
      <c r="D923" s="344"/>
      <c r="E923" s="190" t="s">
        <v>777</v>
      </c>
      <c r="F923" s="183" t="s">
        <v>589</v>
      </c>
      <c r="G923" s="183" t="s">
        <v>3903</v>
      </c>
      <c r="H923" s="184">
        <v>101251170349</v>
      </c>
      <c r="I923" s="185" t="s">
        <v>4416</v>
      </c>
      <c r="J923" s="146" t="s">
        <v>3905</v>
      </c>
      <c r="K923" s="247"/>
      <c r="L923" s="186">
        <v>44749</v>
      </c>
      <c r="M923" s="530">
        <v>1400000</v>
      </c>
    </row>
    <row r="924" spans="1:13" x14ac:dyDescent="0.25">
      <c r="A924" s="344"/>
      <c r="B924" s="344" t="s">
        <v>2045</v>
      </c>
      <c r="C924" s="344">
        <v>807</v>
      </c>
      <c r="D924" s="344"/>
      <c r="E924" s="190" t="s">
        <v>28</v>
      </c>
      <c r="F924" s="183" t="s">
        <v>3751</v>
      </c>
      <c r="G924" s="183" t="s">
        <v>4417</v>
      </c>
      <c r="H924" s="184">
        <v>117212001434</v>
      </c>
      <c r="I924" s="185" t="s">
        <v>4418</v>
      </c>
      <c r="J924" s="146" t="s">
        <v>4419</v>
      </c>
      <c r="K924" s="247"/>
      <c r="L924" s="186">
        <v>44750</v>
      </c>
      <c r="M924" s="530">
        <v>2900000</v>
      </c>
    </row>
    <row r="925" spans="1:13" x14ac:dyDescent="0.25">
      <c r="A925" s="344"/>
      <c r="B925" s="344" t="s">
        <v>2287</v>
      </c>
      <c r="C925" s="344">
        <v>808</v>
      </c>
      <c r="D925" s="344"/>
      <c r="E925" s="190" t="s">
        <v>87</v>
      </c>
      <c r="F925" s="183" t="s">
        <v>4420</v>
      </c>
      <c r="G925" s="183" t="s">
        <v>4421</v>
      </c>
      <c r="H925" s="184">
        <v>101211166163</v>
      </c>
      <c r="I925" s="185" t="s">
        <v>4422</v>
      </c>
      <c r="J925" s="146" t="s">
        <v>4423</v>
      </c>
      <c r="K925" s="247"/>
      <c r="L925" s="186">
        <v>44750</v>
      </c>
      <c r="M925" s="530">
        <v>2600000</v>
      </c>
    </row>
    <row r="926" spans="1:13" x14ac:dyDescent="0.25">
      <c r="A926" s="344"/>
      <c r="B926" s="344" t="s">
        <v>3822</v>
      </c>
      <c r="C926" s="344">
        <v>809</v>
      </c>
      <c r="D926" s="344"/>
      <c r="E926" s="190" t="s">
        <v>435</v>
      </c>
      <c r="F926" s="183" t="s">
        <v>4424</v>
      </c>
      <c r="G926" s="183" t="s">
        <v>4425</v>
      </c>
      <c r="H926" s="184">
        <v>101251174482</v>
      </c>
      <c r="I926" s="185" t="s">
        <v>4426</v>
      </c>
      <c r="J926" s="146" t="s">
        <v>4427</v>
      </c>
      <c r="K926" s="247"/>
      <c r="L926" s="186">
        <v>44754</v>
      </c>
      <c r="M926" s="530">
        <v>4000000</v>
      </c>
    </row>
    <row r="927" spans="1:13" x14ac:dyDescent="0.25">
      <c r="A927" s="344"/>
      <c r="B927" s="344" t="s">
        <v>4248</v>
      </c>
      <c r="C927" s="344">
        <v>810</v>
      </c>
      <c r="D927" s="344"/>
      <c r="E927" s="190" t="s">
        <v>435</v>
      </c>
      <c r="F927" s="183" t="s">
        <v>4428</v>
      </c>
      <c r="G927" s="183" t="s">
        <v>4429</v>
      </c>
      <c r="H927" s="184">
        <v>111091009259</v>
      </c>
      <c r="I927" s="185"/>
      <c r="J927" s="146"/>
      <c r="K927" s="247"/>
      <c r="L927" s="186">
        <v>44753</v>
      </c>
      <c r="M927" s="530">
        <v>4600000</v>
      </c>
    </row>
    <row r="928" spans="1:13" x14ac:dyDescent="0.25">
      <c r="A928" s="344"/>
      <c r="B928" s="344" t="s">
        <v>4469</v>
      </c>
      <c r="C928" s="344">
        <v>811</v>
      </c>
      <c r="D928" s="344"/>
      <c r="E928" s="190" t="s">
        <v>224</v>
      </c>
      <c r="F928" s="183" t="s">
        <v>4470</v>
      </c>
      <c r="G928" s="183" t="s">
        <v>4471</v>
      </c>
      <c r="H928" s="184">
        <v>204112001069</v>
      </c>
      <c r="I928" s="185" t="s">
        <v>4472</v>
      </c>
      <c r="J928" s="146" t="s">
        <v>4473</v>
      </c>
      <c r="K928" s="247"/>
      <c r="L928" s="186" t="s">
        <v>4475</v>
      </c>
      <c r="M928" s="530">
        <v>2200000</v>
      </c>
    </row>
    <row r="929" spans="1:13" x14ac:dyDescent="0.25">
      <c r="A929" s="344"/>
      <c r="B929" s="344" t="s">
        <v>4474</v>
      </c>
      <c r="C929" s="344">
        <v>812</v>
      </c>
      <c r="D929" s="344"/>
      <c r="E929" s="190" t="s">
        <v>435</v>
      </c>
      <c r="F929" s="183" t="s">
        <v>1006</v>
      </c>
      <c r="G929" s="183" t="s">
        <v>4283</v>
      </c>
      <c r="H929" s="184">
        <v>10201103477</v>
      </c>
      <c r="I929" s="185" t="s">
        <v>4284</v>
      </c>
      <c r="J929" s="146" t="s">
        <v>1374</v>
      </c>
      <c r="K929" s="247"/>
      <c r="L929" s="186">
        <v>44753</v>
      </c>
      <c r="M929" s="530">
        <v>4600000</v>
      </c>
    </row>
    <row r="930" spans="1:13" x14ac:dyDescent="0.25">
      <c r="A930" s="344"/>
      <c r="B930" s="344" t="s">
        <v>4476</v>
      </c>
      <c r="C930" s="344">
        <v>813</v>
      </c>
      <c r="D930" s="344"/>
      <c r="E930" s="190" t="s">
        <v>224</v>
      </c>
      <c r="F930" s="183" t="s">
        <v>4477</v>
      </c>
      <c r="G930" s="183" t="s">
        <v>4478</v>
      </c>
      <c r="H930" s="184">
        <v>101251191242</v>
      </c>
      <c r="I930" s="185" t="s">
        <v>4479</v>
      </c>
      <c r="J930" s="146" t="s">
        <v>4480</v>
      </c>
      <c r="K930" s="247"/>
      <c r="L930" s="186">
        <v>44753</v>
      </c>
      <c r="M930" s="530"/>
    </row>
    <row r="931" spans="1:13" x14ac:dyDescent="0.25">
      <c r="A931" s="344"/>
      <c r="B931" s="344" t="s">
        <v>4481</v>
      </c>
      <c r="C931" s="344">
        <v>814</v>
      </c>
      <c r="D931" s="344"/>
      <c r="E931" s="190" t="s">
        <v>2130</v>
      </c>
      <c r="F931" s="183" t="s">
        <v>4482</v>
      </c>
      <c r="G931" s="183" t="s">
        <v>4483</v>
      </c>
      <c r="H931" s="184">
        <v>101981090397</v>
      </c>
      <c r="I931" s="185" t="s">
        <v>4484</v>
      </c>
      <c r="J931" s="146" t="s">
        <v>4485</v>
      </c>
      <c r="K931" s="247"/>
      <c r="L931" s="186">
        <v>44754</v>
      </c>
      <c r="M931" s="530">
        <v>1500000</v>
      </c>
    </row>
    <row r="932" spans="1:13" x14ac:dyDescent="0.25">
      <c r="A932" s="344"/>
      <c r="B932" s="344" t="s">
        <v>4275</v>
      </c>
      <c r="C932" s="344" t="s">
        <v>4486</v>
      </c>
      <c r="D932" s="344"/>
      <c r="E932" s="190" t="s">
        <v>224</v>
      </c>
      <c r="F932" s="183" t="s">
        <v>78</v>
      </c>
      <c r="G932" s="183" t="s">
        <v>4487</v>
      </c>
      <c r="H932" s="184">
        <v>519012012112</v>
      </c>
      <c r="I932" s="185" t="s">
        <v>4488</v>
      </c>
      <c r="J932" s="146" t="s">
        <v>4489</v>
      </c>
      <c r="K932" s="247"/>
      <c r="L932" s="186">
        <v>44754</v>
      </c>
      <c r="M932" s="530">
        <v>2200000</v>
      </c>
    </row>
    <row r="933" spans="1:13" x14ac:dyDescent="0.25">
      <c r="A933" s="344"/>
      <c r="B933" s="344" t="s">
        <v>4490</v>
      </c>
      <c r="C933" s="344" t="s">
        <v>4491</v>
      </c>
      <c r="D933" s="344"/>
      <c r="E933" s="190" t="s">
        <v>435</v>
      </c>
      <c r="F933" s="183" t="s">
        <v>3854</v>
      </c>
      <c r="G933" s="183" t="s">
        <v>4492</v>
      </c>
      <c r="H933" s="184">
        <v>117331001219</v>
      </c>
      <c r="I933" s="185" t="s">
        <v>4493</v>
      </c>
      <c r="J933" s="146" t="s">
        <v>4494</v>
      </c>
      <c r="K933" s="247"/>
      <c r="L933" s="186">
        <v>44755</v>
      </c>
      <c r="M933" s="530">
        <v>3800000</v>
      </c>
    </row>
    <row r="934" spans="1:13" x14ac:dyDescent="0.25">
      <c r="A934" s="344"/>
      <c r="B934" s="344" t="s">
        <v>4280</v>
      </c>
      <c r="C934" s="344">
        <v>816</v>
      </c>
      <c r="D934" s="344"/>
      <c r="E934" s="190" t="s">
        <v>224</v>
      </c>
      <c r="F934" s="183" t="s">
        <v>3385</v>
      </c>
      <c r="G934" s="183" t="s">
        <v>967</v>
      </c>
      <c r="H934" s="184">
        <v>101251096926</v>
      </c>
      <c r="I934" s="185" t="s">
        <v>4495</v>
      </c>
      <c r="J934" s="146" t="s">
        <v>4496</v>
      </c>
      <c r="K934" s="247"/>
      <c r="L934" s="186">
        <v>44755</v>
      </c>
      <c r="M934" s="530">
        <v>2600000</v>
      </c>
    </row>
    <row r="935" spans="1:13" x14ac:dyDescent="0.25">
      <c r="A935" s="344"/>
      <c r="B935" s="344" t="s">
        <v>4497</v>
      </c>
      <c r="C935" s="344">
        <v>817</v>
      </c>
      <c r="D935" s="344"/>
      <c r="E935" s="190" t="s">
        <v>2867</v>
      </c>
      <c r="F935" s="183" t="s">
        <v>4498</v>
      </c>
      <c r="G935" s="183" t="s">
        <v>4499</v>
      </c>
      <c r="H935" s="184">
        <v>102431004375</v>
      </c>
      <c r="I935" s="185" t="s">
        <v>4500</v>
      </c>
      <c r="J935" s="146" t="s">
        <v>4501</v>
      </c>
      <c r="K935" s="247"/>
      <c r="L935" s="186">
        <v>44756</v>
      </c>
      <c r="M935" s="530">
        <v>2600000</v>
      </c>
    </row>
    <row r="936" spans="1:13" x14ac:dyDescent="0.25">
      <c r="A936" s="344"/>
      <c r="B936" s="344" t="s">
        <v>4502</v>
      </c>
      <c r="C936" s="344">
        <v>818</v>
      </c>
      <c r="D936" s="344"/>
      <c r="E936" s="190" t="s">
        <v>309</v>
      </c>
      <c r="F936" s="183" t="s">
        <v>4503</v>
      </c>
      <c r="G936" s="183" t="s">
        <v>4504</v>
      </c>
      <c r="H936" s="184">
        <v>105131013974</v>
      </c>
      <c r="I936" s="185" t="s">
        <v>4505</v>
      </c>
      <c r="J936" s="146" t="s">
        <v>4506</v>
      </c>
      <c r="K936" s="247"/>
      <c r="L936" s="186">
        <v>44757</v>
      </c>
      <c r="M936" s="530">
        <v>5000000</v>
      </c>
    </row>
    <row r="937" spans="1:13" x14ac:dyDescent="0.25">
      <c r="A937" s="344"/>
      <c r="B937" s="344" t="s">
        <v>3657</v>
      </c>
      <c r="C937" s="344">
        <v>819</v>
      </c>
      <c r="D937" s="344"/>
      <c r="E937" s="190" t="s">
        <v>435</v>
      </c>
      <c r="F937" s="183" t="s">
        <v>4507</v>
      </c>
      <c r="G937" s="183" t="s">
        <v>1361</v>
      </c>
      <c r="H937" s="184">
        <v>105341006049</v>
      </c>
      <c r="I937" s="185" t="s">
        <v>4508</v>
      </c>
      <c r="J937" s="146"/>
      <c r="K937" s="247"/>
      <c r="L937" s="186">
        <v>44758</v>
      </c>
      <c r="M937" s="530">
        <v>1200000</v>
      </c>
    </row>
    <row r="938" spans="1:13" x14ac:dyDescent="0.25">
      <c r="A938" s="344"/>
      <c r="B938" s="344" t="s">
        <v>4509</v>
      </c>
      <c r="C938" s="344">
        <v>820</v>
      </c>
      <c r="D938" s="344"/>
      <c r="E938" s="190" t="s">
        <v>435</v>
      </c>
      <c r="F938" s="183" t="s">
        <v>4510</v>
      </c>
      <c r="G938" s="183" t="s">
        <v>4511</v>
      </c>
      <c r="H938" s="184">
        <v>101232098798</v>
      </c>
      <c r="I938" s="185" t="s">
        <v>4512</v>
      </c>
      <c r="J938" s="146" t="s">
        <v>2460</v>
      </c>
      <c r="K938" s="247"/>
      <c r="L938" s="186">
        <v>44760</v>
      </c>
      <c r="M938" s="530">
        <v>4300000</v>
      </c>
    </row>
    <row r="939" spans="1:13" x14ac:dyDescent="0.25">
      <c r="A939" s="344"/>
      <c r="B939" s="344" t="s">
        <v>4278</v>
      </c>
      <c r="C939" s="344">
        <v>821</v>
      </c>
      <c r="D939" s="344"/>
      <c r="E939" s="190" t="s">
        <v>224</v>
      </c>
      <c r="F939" s="183" t="s">
        <v>4513</v>
      </c>
      <c r="G939" s="183" t="s">
        <v>4514</v>
      </c>
      <c r="H939" s="184">
        <v>203111011349</v>
      </c>
      <c r="I939" s="185" t="s">
        <v>4515</v>
      </c>
      <c r="J939" s="146" t="s">
        <v>4516</v>
      </c>
      <c r="K939" s="247"/>
      <c r="L939" s="186">
        <v>44762</v>
      </c>
      <c r="M939" s="530">
        <v>2200000</v>
      </c>
    </row>
    <row r="940" spans="1:13" x14ac:dyDescent="0.25">
      <c r="A940" s="344"/>
      <c r="B940" s="344" t="s">
        <v>4277</v>
      </c>
      <c r="C940" s="344">
        <v>822</v>
      </c>
      <c r="D940" s="344"/>
      <c r="E940" s="190" t="s">
        <v>192</v>
      </c>
      <c r="F940" s="183" t="s">
        <v>4517</v>
      </c>
      <c r="G940" s="183" t="s">
        <v>4518</v>
      </c>
      <c r="H940" s="184">
        <v>203232002002</v>
      </c>
      <c r="I940" s="185" t="s">
        <v>4519</v>
      </c>
      <c r="J940" s="146" t="s">
        <v>4520</v>
      </c>
      <c r="K940" s="247"/>
      <c r="L940" s="186">
        <v>44763</v>
      </c>
      <c r="M940" s="530">
        <v>2200000</v>
      </c>
    </row>
    <row r="941" spans="1:13" x14ac:dyDescent="0.25">
      <c r="A941" s="344"/>
      <c r="B941" s="344" t="s">
        <v>4265</v>
      </c>
      <c r="C941" s="344">
        <v>823</v>
      </c>
      <c r="D941" s="344"/>
      <c r="E941" s="190" t="s">
        <v>435</v>
      </c>
      <c r="F941" s="183" t="s">
        <v>4521</v>
      </c>
      <c r="G941" s="183" t="s">
        <v>4522</v>
      </c>
      <c r="H941" s="184">
        <v>711991063489</v>
      </c>
      <c r="I941" s="185" t="s">
        <v>4523</v>
      </c>
      <c r="J941" s="146" t="s">
        <v>4524</v>
      </c>
      <c r="K941" s="247"/>
      <c r="L941" s="186">
        <v>44763</v>
      </c>
      <c r="M941" s="530">
        <v>3600000</v>
      </c>
    </row>
    <row r="942" spans="1:13" x14ac:dyDescent="0.25">
      <c r="A942" s="344"/>
      <c r="B942" s="344" t="s">
        <v>4270</v>
      </c>
      <c r="C942" s="344">
        <v>824</v>
      </c>
      <c r="D942" s="344"/>
      <c r="E942" s="190" t="s">
        <v>435</v>
      </c>
      <c r="F942" s="183" t="s">
        <v>4525</v>
      </c>
      <c r="G942" s="183" t="s">
        <v>4526</v>
      </c>
      <c r="H942" s="184">
        <v>107111000573</v>
      </c>
      <c r="I942" s="185" t="s">
        <v>4527</v>
      </c>
      <c r="J942" s="146" t="s">
        <v>4528</v>
      </c>
      <c r="K942" s="247"/>
      <c r="L942" s="186">
        <v>44763</v>
      </c>
      <c r="M942" s="530">
        <v>3700000</v>
      </c>
    </row>
    <row r="943" spans="1:13" x14ac:dyDescent="0.25">
      <c r="A943" s="344"/>
      <c r="B943" s="344" t="s">
        <v>4266</v>
      </c>
      <c r="C943" s="344">
        <v>825</v>
      </c>
      <c r="D943" s="344"/>
      <c r="E943" s="190" t="s">
        <v>435</v>
      </c>
      <c r="F943" s="183" t="s">
        <v>4529</v>
      </c>
      <c r="G943" s="183" t="s">
        <v>4530</v>
      </c>
      <c r="H943" s="184">
        <v>102031024546</v>
      </c>
      <c r="I943" s="185" t="s">
        <v>4531</v>
      </c>
      <c r="J943" s="146" t="s">
        <v>4532</v>
      </c>
      <c r="K943" s="247"/>
      <c r="L943" s="186">
        <v>44764</v>
      </c>
      <c r="M943" s="530">
        <v>3550000</v>
      </c>
    </row>
    <row r="944" spans="1:13" x14ac:dyDescent="0.25">
      <c r="A944" s="344"/>
      <c r="B944" s="344" t="s">
        <v>4533</v>
      </c>
      <c r="C944" s="344">
        <v>826</v>
      </c>
      <c r="D944" s="344"/>
      <c r="E944" s="190" t="s">
        <v>1034</v>
      </c>
      <c r="F944" s="183" t="s">
        <v>101</v>
      </c>
      <c r="G944" s="183" t="s">
        <v>262</v>
      </c>
      <c r="H944" s="184">
        <v>101231134142</v>
      </c>
      <c r="I944" s="185" t="s">
        <v>4534</v>
      </c>
      <c r="J944" s="146" t="s">
        <v>344</v>
      </c>
      <c r="K944" s="247"/>
      <c r="L944" s="186">
        <v>44767</v>
      </c>
      <c r="M944" s="530">
        <v>1300000</v>
      </c>
    </row>
    <row r="945" spans="1:13" x14ac:dyDescent="0.25">
      <c r="A945" s="344"/>
      <c r="B945" s="344" t="s">
        <v>4535</v>
      </c>
      <c r="C945" s="344">
        <v>827</v>
      </c>
      <c r="D945" s="344"/>
      <c r="E945" s="190" t="s">
        <v>434</v>
      </c>
      <c r="F945" s="183" t="s">
        <v>4536</v>
      </c>
      <c r="G945" s="183" t="s">
        <v>4537</v>
      </c>
      <c r="H945" s="184">
        <v>717011012487</v>
      </c>
      <c r="I945" s="185" t="s">
        <v>4538</v>
      </c>
      <c r="J945" s="146" t="s">
        <v>4539</v>
      </c>
      <c r="K945" s="247"/>
      <c r="L945" s="186">
        <v>44768</v>
      </c>
      <c r="M945" s="530">
        <v>2800000</v>
      </c>
    </row>
    <row r="946" spans="1:13" x14ac:dyDescent="0.25">
      <c r="A946" s="344"/>
      <c r="B946" s="344" t="s">
        <v>4540</v>
      </c>
      <c r="C946" s="344">
        <v>828</v>
      </c>
      <c r="D946" s="344"/>
      <c r="E946" s="190" t="s">
        <v>1433</v>
      </c>
      <c r="F946" s="183" t="s">
        <v>1966</v>
      </c>
      <c r="G946" s="183" t="s">
        <v>4541</v>
      </c>
      <c r="H946" s="184">
        <v>401011011921</v>
      </c>
      <c r="I946" s="185" t="s">
        <v>4542</v>
      </c>
      <c r="J946" s="146" t="s">
        <v>4543</v>
      </c>
      <c r="K946" s="247"/>
      <c r="L946" s="186">
        <v>44769</v>
      </c>
      <c r="M946" s="530">
        <v>1500000</v>
      </c>
    </row>
    <row r="947" spans="1:13" x14ac:dyDescent="0.25">
      <c r="A947" s="344"/>
      <c r="B947" s="344" t="s">
        <v>4544</v>
      </c>
      <c r="C947" s="344">
        <v>829</v>
      </c>
      <c r="D947" s="344"/>
      <c r="E947" s="190" t="s">
        <v>224</v>
      </c>
      <c r="F947" s="183" t="s">
        <v>4545</v>
      </c>
      <c r="G947" s="183" t="s">
        <v>4546</v>
      </c>
      <c r="H947" s="184">
        <v>101251163299</v>
      </c>
      <c r="I947" s="185" t="s">
        <v>4547</v>
      </c>
      <c r="J947" s="146" t="s">
        <v>4548</v>
      </c>
      <c r="K947" s="247"/>
      <c r="L947" s="186">
        <v>44770</v>
      </c>
      <c r="M947" s="530">
        <v>2300000</v>
      </c>
    </row>
    <row r="948" spans="1:13" x14ac:dyDescent="0.25">
      <c r="A948" s="344"/>
      <c r="B948" s="344" t="s">
        <v>4279</v>
      </c>
      <c r="C948" s="344">
        <v>830</v>
      </c>
      <c r="D948" s="344"/>
      <c r="E948" s="190" t="s">
        <v>224</v>
      </c>
      <c r="F948" s="183" t="s">
        <v>4549</v>
      </c>
      <c r="G948" s="183" t="s">
        <v>4550</v>
      </c>
      <c r="H948" s="184">
        <v>102031023934</v>
      </c>
      <c r="I948" s="185" t="s">
        <v>4551</v>
      </c>
      <c r="J948" s="146" t="s">
        <v>4554</v>
      </c>
      <c r="K948" s="247"/>
      <c r="L948" s="186">
        <v>44771</v>
      </c>
      <c r="M948" s="530">
        <v>2150000</v>
      </c>
    </row>
    <row r="949" spans="1:13" x14ac:dyDescent="0.25">
      <c r="A949" s="344"/>
      <c r="B949" s="344" t="s">
        <v>4268</v>
      </c>
      <c r="C949" s="344">
        <v>831</v>
      </c>
      <c r="D949" s="344"/>
      <c r="E949" s="190" t="s">
        <v>435</v>
      </c>
      <c r="F949" s="183" t="s">
        <v>1350</v>
      </c>
      <c r="G949" s="183" t="s">
        <v>4552</v>
      </c>
      <c r="H949" s="184">
        <v>406051007857</v>
      </c>
      <c r="I949" s="185" t="s">
        <v>4553</v>
      </c>
      <c r="J949" s="146" t="s">
        <v>4555</v>
      </c>
      <c r="K949" s="247"/>
      <c r="L949" s="186">
        <v>44774</v>
      </c>
      <c r="M949" s="530">
        <v>3600000</v>
      </c>
    </row>
    <row r="950" spans="1:13" x14ac:dyDescent="0.25">
      <c r="A950" s="344"/>
      <c r="B950" s="344" t="s">
        <v>4056</v>
      </c>
      <c r="C950" s="344">
        <v>832</v>
      </c>
      <c r="D950" s="344"/>
      <c r="E950" s="190" t="s">
        <v>224</v>
      </c>
      <c r="F950" s="183" t="s">
        <v>4557</v>
      </c>
      <c r="G950" s="183" t="s">
        <v>4556</v>
      </c>
      <c r="H950" s="184">
        <v>101212216756</v>
      </c>
      <c r="I950" s="185" t="s">
        <v>4558</v>
      </c>
      <c r="J950" s="146" t="s">
        <v>4559</v>
      </c>
      <c r="K950" s="247"/>
      <c r="L950" s="186">
        <v>44777</v>
      </c>
      <c r="M950" s="530">
        <v>2600000</v>
      </c>
    </row>
    <row r="951" spans="1:13" x14ac:dyDescent="0.25">
      <c r="A951" s="344"/>
      <c r="B951" s="344" t="s">
        <v>2938</v>
      </c>
      <c r="C951" s="344">
        <v>833</v>
      </c>
      <c r="D951" s="344"/>
      <c r="E951" s="190" t="s">
        <v>87</v>
      </c>
      <c r="F951" s="183" t="s">
        <v>4525</v>
      </c>
      <c r="G951" s="183" t="s">
        <v>4560</v>
      </c>
      <c r="H951" s="184">
        <v>101231124406</v>
      </c>
      <c r="I951" s="185" t="s">
        <v>4561</v>
      </c>
      <c r="J951" s="146" t="s">
        <v>4562</v>
      </c>
      <c r="K951" s="247"/>
      <c r="L951" s="186">
        <v>44776</v>
      </c>
      <c r="M951" s="530">
        <v>3000000</v>
      </c>
    </row>
    <row r="952" spans="1:13" x14ac:dyDescent="0.25">
      <c r="A952" s="344"/>
      <c r="B952" s="344" t="s">
        <v>4437</v>
      </c>
      <c r="C952" s="344">
        <v>834</v>
      </c>
      <c r="D952" s="344"/>
      <c r="E952" s="190" t="s">
        <v>192</v>
      </c>
      <c r="F952" s="183" t="s">
        <v>4563</v>
      </c>
      <c r="G952" s="183" t="s">
        <v>4564</v>
      </c>
      <c r="H952" s="184">
        <v>112991014844</v>
      </c>
      <c r="I952" s="185" t="s">
        <v>4333</v>
      </c>
      <c r="J952" s="146" t="s">
        <v>4565</v>
      </c>
      <c r="K952" s="247"/>
      <c r="L952" s="186">
        <v>44748</v>
      </c>
      <c r="M952" s="530">
        <v>2200000</v>
      </c>
    </row>
    <row r="953" spans="1:13" x14ac:dyDescent="0.25">
      <c r="A953" s="344"/>
      <c r="B953" s="344" t="s">
        <v>4263</v>
      </c>
      <c r="C953" s="344">
        <v>835</v>
      </c>
      <c r="D953" s="344"/>
      <c r="E953" s="190" t="s">
        <v>435</v>
      </c>
      <c r="F953" s="183" t="s">
        <v>4566</v>
      </c>
      <c r="G953" s="183" t="s">
        <v>4567</v>
      </c>
      <c r="H953" s="184">
        <v>117031018758</v>
      </c>
      <c r="I953" s="185" t="s">
        <v>4568</v>
      </c>
      <c r="J953" s="146" t="s">
        <v>4569</v>
      </c>
      <c r="K953" s="247"/>
      <c r="L953" s="186">
        <v>44748</v>
      </c>
      <c r="M953" s="530">
        <v>3700000</v>
      </c>
    </row>
    <row r="954" spans="1:13" x14ac:dyDescent="0.25">
      <c r="A954" s="344"/>
      <c r="B954" s="344" t="s">
        <v>4434</v>
      </c>
      <c r="C954" s="344">
        <v>836</v>
      </c>
      <c r="D954" s="344"/>
      <c r="E954" s="190" t="s">
        <v>224</v>
      </c>
      <c r="F954" s="183" t="s">
        <v>4570</v>
      </c>
      <c r="G954" s="183" t="s">
        <v>4571</v>
      </c>
      <c r="H954" s="184">
        <v>307011008017</v>
      </c>
      <c r="I954" s="185" t="s">
        <v>4572</v>
      </c>
      <c r="J954" s="146" t="s">
        <v>4573</v>
      </c>
      <c r="K954" s="247"/>
      <c r="L954" s="186">
        <v>44748</v>
      </c>
      <c r="M954" s="530">
        <v>3250000</v>
      </c>
    </row>
    <row r="955" spans="1:13" x14ac:dyDescent="0.25">
      <c r="A955" s="344"/>
      <c r="B955" s="344" t="s">
        <v>4441</v>
      </c>
      <c r="C955" s="344">
        <v>837</v>
      </c>
      <c r="D955" s="344"/>
      <c r="E955" s="190" t="s">
        <v>224</v>
      </c>
      <c r="F955" s="183" t="s">
        <v>4574</v>
      </c>
      <c r="G955" s="183" t="s">
        <v>4575</v>
      </c>
      <c r="H955" s="184">
        <v>313011000713</v>
      </c>
      <c r="I955" s="185" t="s">
        <v>4576</v>
      </c>
      <c r="J955" s="146" t="s">
        <v>4577</v>
      </c>
      <c r="K955" s="247"/>
      <c r="L955" s="186">
        <v>44779</v>
      </c>
      <c r="M955" s="530">
        <v>2300000</v>
      </c>
    </row>
    <row r="956" spans="1:13" x14ac:dyDescent="0.25">
      <c r="A956" s="344"/>
      <c r="B956" s="344" t="s">
        <v>4578</v>
      </c>
      <c r="C956" s="344">
        <v>838</v>
      </c>
      <c r="D956" s="344"/>
      <c r="E956" s="190" t="s">
        <v>435</v>
      </c>
      <c r="F956" s="183" t="s">
        <v>1241</v>
      </c>
      <c r="G956" s="183" t="s">
        <v>4579</v>
      </c>
      <c r="H956" s="184">
        <v>101211148346</v>
      </c>
      <c r="I956" s="185" t="s">
        <v>4580</v>
      </c>
      <c r="J956" s="146" t="s">
        <v>4581</v>
      </c>
      <c r="K956" s="247"/>
      <c r="L956" s="186">
        <v>44781</v>
      </c>
      <c r="M956" s="530">
        <v>4600000</v>
      </c>
    </row>
    <row r="957" spans="1:13" x14ac:dyDescent="0.25">
      <c r="A957" s="344"/>
      <c r="B957" s="344" t="s">
        <v>4582</v>
      </c>
      <c r="C957" s="344">
        <v>839</v>
      </c>
      <c r="D957" s="344"/>
      <c r="E957" s="190" t="s">
        <v>435</v>
      </c>
      <c r="F957" s="183" t="s">
        <v>1060</v>
      </c>
      <c r="G957" s="183" t="s">
        <v>4899</v>
      </c>
      <c r="H957" s="184">
        <v>101251141541</v>
      </c>
      <c r="I957" s="185" t="s">
        <v>4583</v>
      </c>
      <c r="J957" s="146" t="s">
        <v>4584</v>
      </c>
      <c r="K957" s="247"/>
      <c r="L957" s="186">
        <v>44781</v>
      </c>
      <c r="M957" s="530">
        <v>3600000</v>
      </c>
    </row>
    <row r="958" spans="1:13" x14ac:dyDescent="0.25">
      <c r="A958" s="344"/>
      <c r="B958" s="344" t="s">
        <v>4585</v>
      </c>
      <c r="C958" s="344">
        <v>840</v>
      </c>
      <c r="D958" s="344"/>
      <c r="E958" s="190" t="s">
        <v>435</v>
      </c>
      <c r="F958" s="183" t="s">
        <v>4586</v>
      </c>
      <c r="G958" s="183" t="s">
        <v>4587</v>
      </c>
      <c r="H958" s="184">
        <v>408191005865</v>
      </c>
      <c r="I958" s="185" t="s">
        <v>4588</v>
      </c>
      <c r="J958" s="146" t="s">
        <v>4589</v>
      </c>
      <c r="K958" s="247"/>
      <c r="L958" s="186">
        <v>44781</v>
      </c>
      <c r="M958" s="530">
        <v>3800000</v>
      </c>
    </row>
    <row r="959" spans="1:13" x14ac:dyDescent="0.25">
      <c r="A959" s="344"/>
      <c r="B959" s="344" t="s">
        <v>4435</v>
      </c>
      <c r="C959" s="344">
        <v>841</v>
      </c>
      <c r="D959" s="344"/>
      <c r="E959" s="190" t="s">
        <v>224</v>
      </c>
      <c r="F959" s="183" t="s">
        <v>4590</v>
      </c>
      <c r="G959" s="183" t="s">
        <v>4591</v>
      </c>
      <c r="H959" s="184">
        <v>107071007630</v>
      </c>
      <c r="I959" s="185" t="s">
        <v>4592</v>
      </c>
      <c r="J959" s="146" t="s">
        <v>4593</v>
      </c>
      <c r="K959" s="247"/>
      <c r="L959" s="186">
        <v>44781</v>
      </c>
      <c r="M959" s="530">
        <v>2400000</v>
      </c>
    </row>
    <row r="960" spans="1:13" x14ac:dyDescent="0.25">
      <c r="A960" s="344"/>
      <c r="B960" s="344" t="s">
        <v>3656</v>
      </c>
      <c r="C960" s="344">
        <v>842</v>
      </c>
      <c r="D960" s="344"/>
      <c r="E960" s="190" t="s">
        <v>435</v>
      </c>
      <c r="F960" s="183"/>
      <c r="G960" s="183"/>
      <c r="H960" s="184"/>
      <c r="I960" s="185"/>
      <c r="J960" s="146"/>
      <c r="K960" s="247"/>
      <c r="L960" s="186"/>
      <c r="M960" s="530"/>
    </row>
    <row r="961" spans="1:13" x14ac:dyDescent="0.25">
      <c r="A961" s="344"/>
      <c r="B961" s="344" t="s">
        <v>1294</v>
      </c>
      <c r="C961" s="344" t="s">
        <v>4596</v>
      </c>
      <c r="D961" s="344"/>
      <c r="E961" s="190" t="s">
        <v>1536</v>
      </c>
      <c r="F961" s="183" t="s">
        <v>1350</v>
      </c>
      <c r="G961" s="183" t="s">
        <v>4594</v>
      </c>
      <c r="H961" s="184">
        <v>111011022824</v>
      </c>
      <c r="I961" s="185" t="s">
        <v>4595</v>
      </c>
      <c r="J961" s="146" t="s">
        <v>857</v>
      </c>
      <c r="K961" s="247"/>
      <c r="L961" s="186">
        <v>44782</v>
      </c>
      <c r="M961" s="530">
        <v>4600000</v>
      </c>
    </row>
    <row r="962" spans="1:13" x14ac:dyDescent="0.25">
      <c r="A962" s="344"/>
      <c r="B962" s="344" t="s">
        <v>803</v>
      </c>
      <c r="C962" s="344">
        <v>843</v>
      </c>
      <c r="D962" s="344"/>
      <c r="E962" s="190" t="s">
        <v>28</v>
      </c>
      <c r="F962" s="183" t="s">
        <v>4597</v>
      </c>
      <c r="G962" s="183" t="s">
        <v>4598</v>
      </c>
      <c r="H962" s="184">
        <v>102031015091</v>
      </c>
      <c r="I962" s="185" t="s">
        <v>4599</v>
      </c>
      <c r="J962" s="146" t="s">
        <v>4600</v>
      </c>
      <c r="K962" s="247"/>
      <c r="L962" s="186">
        <v>44784</v>
      </c>
      <c r="M962" s="530">
        <v>2600000</v>
      </c>
    </row>
    <row r="963" spans="1:13" x14ac:dyDescent="0.25">
      <c r="A963" s="344"/>
      <c r="B963" s="344" t="s">
        <v>4281</v>
      </c>
      <c r="C963" s="344">
        <v>844</v>
      </c>
      <c r="D963" s="344"/>
      <c r="E963" s="190" t="s">
        <v>224</v>
      </c>
      <c r="F963" s="183" t="s">
        <v>4601</v>
      </c>
      <c r="G963" s="183" t="s">
        <v>4602</v>
      </c>
      <c r="H963" s="184">
        <v>101221103638</v>
      </c>
      <c r="I963" s="185" t="s">
        <v>4603</v>
      </c>
      <c r="J963" s="146" t="s">
        <v>4604</v>
      </c>
      <c r="K963" s="247"/>
      <c r="L963" s="186">
        <v>44784</v>
      </c>
      <c r="M963" s="530">
        <v>2200000</v>
      </c>
    </row>
    <row r="964" spans="1:13" x14ac:dyDescent="0.25">
      <c r="A964" s="344"/>
      <c r="B964" s="344" t="s">
        <v>4432</v>
      </c>
      <c r="C964" s="344">
        <v>845</v>
      </c>
      <c r="D964" s="344"/>
      <c r="E964" s="190" t="s">
        <v>192</v>
      </c>
      <c r="F964" s="183" t="s">
        <v>3196</v>
      </c>
      <c r="G964" s="183" t="s">
        <v>4605</v>
      </c>
      <c r="H964" s="184">
        <v>101251203598</v>
      </c>
      <c r="I964" s="185" t="s">
        <v>4606</v>
      </c>
      <c r="J964" s="146" t="s">
        <v>4607</v>
      </c>
      <c r="K964" s="247"/>
      <c r="L964" s="186">
        <v>44785</v>
      </c>
      <c r="M964" s="530">
        <v>2150000</v>
      </c>
    </row>
    <row r="965" spans="1:13" x14ac:dyDescent="0.25">
      <c r="A965" s="344"/>
      <c r="B965" s="344" t="s">
        <v>308</v>
      </c>
      <c r="C965" s="344">
        <v>846</v>
      </c>
      <c r="D965" s="344"/>
      <c r="E965" s="190" t="s">
        <v>435</v>
      </c>
      <c r="F965" s="183" t="s">
        <v>4608</v>
      </c>
      <c r="G965" s="183" t="s">
        <v>4609</v>
      </c>
      <c r="H965" s="184">
        <v>101251168816</v>
      </c>
      <c r="I965" s="185" t="s">
        <v>4610</v>
      </c>
      <c r="J965" s="146" t="s">
        <v>4614</v>
      </c>
      <c r="K965" s="247"/>
      <c r="L965" s="186">
        <v>44785</v>
      </c>
      <c r="M965" s="530">
        <v>4600000</v>
      </c>
    </row>
    <row r="966" spans="1:13" x14ac:dyDescent="0.25">
      <c r="A966" s="344"/>
      <c r="B966" s="344" t="s">
        <v>4611</v>
      </c>
      <c r="C966" s="344">
        <v>847</v>
      </c>
      <c r="D966" s="344"/>
      <c r="E966" s="190" t="s">
        <v>28</v>
      </c>
      <c r="F966" s="183" t="s">
        <v>4612</v>
      </c>
      <c r="G966" s="183" t="s">
        <v>3456</v>
      </c>
      <c r="H966" s="184">
        <v>102071022520</v>
      </c>
      <c r="I966" s="185" t="s">
        <v>4613</v>
      </c>
      <c r="J966" s="146" t="s">
        <v>3458</v>
      </c>
      <c r="K966" s="247"/>
      <c r="L966" s="186">
        <v>44785</v>
      </c>
      <c r="M966" s="530">
        <v>3000000</v>
      </c>
    </row>
    <row r="967" spans="1:13" x14ac:dyDescent="0.25">
      <c r="A967" s="344"/>
      <c r="B967" s="344" t="s">
        <v>4615</v>
      </c>
      <c r="C967" s="344">
        <v>848</v>
      </c>
      <c r="D967" s="344"/>
      <c r="E967" s="190" t="s">
        <v>435</v>
      </c>
      <c r="F967" s="183" t="s">
        <v>3306</v>
      </c>
      <c r="G967" s="183" t="s">
        <v>4616</v>
      </c>
      <c r="H967" s="184">
        <v>102071018191</v>
      </c>
      <c r="I967" s="185" t="s">
        <v>4617</v>
      </c>
      <c r="J967" s="146" t="s">
        <v>4618</v>
      </c>
      <c r="K967" s="247"/>
      <c r="L967" s="186">
        <v>44785</v>
      </c>
      <c r="M967" s="530">
        <v>3800000</v>
      </c>
    </row>
    <row r="968" spans="1:13" x14ac:dyDescent="0.25">
      <c r="A968" s="344"/>
      <c r="B968" s="344" t="s">
        <v>4619</v>
      </c>
      <c r="C968" s="344">
        <v>849</v>
      </c>
      <c r="D968" s="344"/>
      <c r="E968" s="190" t="s">
        <v>435</v>
      </c>
      <c r="F968" s="183" t="s">
        <v>4620</v>
      </c>
      <c r="G968" s="183" t="s">
        <v>4621</v>
      </c>
      <c r="H968" s="184">
        <v>713231005908</v>
      </c>
      <c r="I968" s="185" t="s">
        <v>4622</v>
      </c>
      <c r="J968" s="146" t="s">
        <v>4623</v>
      </c>
      <c r="K968" s="247"/>
      <c r="L968" s="186">
        <v>44785</v>
      </c>
      <c r="M968" s="530">
        <v>3600000</v>
      </c>
    </row>
    <row r="969" spans="1:13" x14ac:dyDescent="0.25">
      <c r="A969" s="344"/>
      <c r="B969" s="344" t="s">
        <v>4440</v>
      </c>
      <c r="C969" s="344">
        <v>850</v>
      </c>
      <c r="D969" s="344"/>
      <c r="E969" s="190" t="s">
        <v>224</v>
      </c>
      <c r="F969" s="183" t="s">
        <v>1402</v>
      </c>
      <c r="G969" s="183" t="s">
        <v>4624</v>
      </c>
      <c r="H969" s="184">
        <v>102091007888</v>
      </c>
      <c r="I969" s="185" t="s">
        <v>4625</v>
      </c>
      <c r="J969" s="146" t="s">
        <v>4626</v>
      </c>
      <c r="K969" s="247"/>
      <c r="L969" s="186">
        <v>44786</v>
      </c>
      <c r="M969" s="530">
        <v>2150000</v>
      </c>
    </row>
    <row r="970" spans="1:13" x14ac:dyDescent="0.25">
      <c r="A970" s="344"/>
      <c r="B970" s="344" t="s">
        <v>4627</v>
      </c>
      <c r="C970" s="344">
        <v>851</v>
      </c>
      <c r="D970" s="344"/>
      <c r="E970" s="190" t="s">
        <v>434</v>
      </c>
      <c r="F970" s="183" t="s">
        <v>4628</v>
      </c>
      <c r="G970" s="183" t="s">
        <v>4629</v>
      </c>
      <c r="H970" s="184">
        <v>106211002970</v>
      </c>
      <c r="I970" s="185" t="s">
        <v>4630</v>
      </c>
      <c r="J970" s="146" t="s">
        <v>4631</v>
      </c>
      <c r="K970" s="247"/>
      <c r="L970" s="186">
        <v>44789</v>
      </c>
      <c r="M970" s="530">
        <v>3600000</v>
      </c>
    </row>
    <row r="971" spans="1:13" x14ac:dyDescent="0.25">
      <c r="A971" s="344"/>
      <c r="B971" s="344" t="s">
        <v>4632</v>
      </c>
      <c r="C971" s="344">
        <v>852</v>
      </c>
      <c r="D971" s="344"/>
      <c r="E971" s="190" t="s">
        <v>309</v>
      </c>
      <c r="F971" s="183" t="s">
        <v>4633</v>
      </c>
      <c r="G971" s="183" t="s">
        <v>4634</v>
      </c>
      <c r="H971" s="184">
        <v>710011053605</v>
      </c>
      <c r="I971" s="185" t="s">
        <v>4635</v>
      </c>
      <c r="J971" s="146" t="s">
        <v>4636</v>
      </c>
      <c r="K971" s="247"/>
      <c r="L971" s="186">
        <v>44789</v>
      </c>
      <c r="M971" s="530">
        <v>4400000</v>
      </c>
    </row>
    <row r="972" spans="1:13" x14ac:dyDescent="0.25">
      <c r="A972" s="344"/>
      <c r="B972" s="344" t="s">
        <v>4436</v>
      </c>
      <c r="C972" s="344">
        <v>853</v>
      </c>
      <c r="D972" s="344"/>
      <c r="E972" s="190" t="s">
        <v>192</v>
      </c>
      <c r="F972" s="183" t="s">
        <v>4637</v>
      </c>
      <c r="G972" s="183" t="s">
        <v>4638</v>
      </c>
      <c r="H972" s="184">
        <v>102031024797</v>
      </c>
      <c r="I972" s="185" t="s">
        <v>4639</v>
      </c>
      <c r="J972" s="146" t="s">
        <v>4640</v>
      </c>
      <c r="K972" s="247"/>
      <c r="L972" s="186">
        <v>44789</v>
      </c>
      <c r="M972" s="530">
        <v>2150000</v>
      </c>
    </row>
    <row r="973" spans="1:13" x14ac:dyDescent="0.25">
      <c r="A973" s="344"/>
      <c r="B973" s="344" t="s">
        <v>4451</v>
      </c>
      <c r="C973" s="344">
        <v>854</v>
      </c>
      <c r="D973" s="344"/>
      <c r="E973" s="190" t="s">
        <v>434</v>
      </c>
      <c r="F973" s="183" t="s">
        <v>4641</v>
      </c>
      <c r="G973" s="183" t="s">
        <v>4642</v>
      </c>
      <c r="H973" s="184">
        <v>102271000023</v>
      </c>
      <c r="I973" s="185" t="s">
        <v>4643</v>
      </c>
      <c r="J973" s="146" t="s">
        <v>4644</v>
      </c>
      <c r="K973" s="247"/>
      <c r="L973" s="186">
        <v>44796</v>
      </c>
      <c r="M973" s="530">
        <v>3450000</v>
      </c>
    </row>
    <row r="974" spans="1:13" x14ac:dyDescent="0.25">
      <c r="A974" s="344"/>
      <c r="B974" s="344" t="s">
        <v>4116</v>
      </c>
      <c r="C974" s="344">
        <v>855</v>
      </c>
      <c r="D974" s="344"/>
      <c r="E974" s="190" t="s">
        <v>224</v>
      </c>
      <c r="F974" s="183" t="s">
        <v>4176</v>
      </c>
      <c r="G974" s="183" t="s">
        <v>4645</v>
      </c>
      <c r="H974" s="184">
        <v>116091004199</v>
      </c>
      <c r="I974" s="185" t="s">
        <v>4646</v>
      </c>
      <c r="J974" s="146" t="s">
        <v>4647</v>
      </c>
      <c r="K974" s="247"/>
      <c r="L974" s="186">
        <v>44797</v>
      </c>
      <c r="M974" s="530">
        <v>2700000</v>
      </c>
    </row>
    <row r="975" spans="1:13" x14ac:dyDescent="0.25">
      <c r="A975" s="344"/>
      <c r="B975" s="344" t="s">
        <v>4452</v>
      </c>
      <c r="C975" s="344">
        <v>856</v>
      </c>
      <c r="D975" s="344"/>
      <c r="E975" s="190" t="s">
        <v>434</v>
      </c>
      <c r="F975" s="183" t="s">
        <v>4648</v>
      </c>
      <c r="G975" s="183" t="s">
        <v>4649</v>
      </c>
      <c r="H975" s="184">
        <v>102091026818</v>
      </c>
      <c r="I975" s="185" t="s">
        <v>4650</v>
      </c>
      <c r="J975" s="146" t="s">
        <v>4651</v>
      </c>
      <c r="K975" s="247"/>
      <c r="L975" s="186">
        <v>44797</v>
      </c>
      <c r="M975" s="530">
        <v>3400000</v>
      </c>
    </row>
    <row r="976" spans="1:13" x14ac:dyDescent="0.25">
      <c r="A976" s="344"/>
      <c r="B976" s="344" t="s">
        <v>4447</v>
      </c>
      <c r="C976" s="344">
        <v>857</v>
      </c>
      <c r="D976" s="344"/>
      <c r="E976" s="190" t="s">
        <v>434</v>
      </c>
      <c r="F976" s="183" t="s">
        <v>4652</v>
      </c>
      <c r="G976" s="183" t="s">
        <v>4653</v>
      </c>
      <c r="H976" s="184">
        <v>118072007539</v>
      </c>
      <c r="I976" s="185" t="s">
        <v>4654</v>
      </c>
      <c r="J976" s="146" t="s">
        <v>4655</v>
      </c>
      <c r="K976" s="247"/>
      <c r="L976" s="186">
        <v>44802</v>
      </c>
      <c r="M976" s="530">
        <v>3900000</v>
      </c>
    </row>
    <row r="977" spans="1:13" x14ac:dyDescent="0.25">
      <c r="A977" s="344"/>
      <c r="B977" s="344" t="s">
        <v>3765</v>
      </c>
      <c r="C977" s="344">
        <v>858</v>
      </c>
      <c r="D977" s="344"/>
      <c r="E977" s="190" t="s">
        <v>4660</v>
      </c>
      <c r="F977" s="183"/>
      <c r="G977" s="183"/>
      <c r="H977" s="184"/>
      <c r="I977" s="185"/>
      <c r="J977" s="146"/>
      <c r="K977" s="247"/>
      <c r="L977" s="186">
        <v>44798</v>
      </c>
      <c r="M977" s="530">
        <v>6600000</v>
      </c>
    </row>
    <row r="978" spans="1:13" x14ac:dyDescent="0.25">
      <c r="A978" s="344"/>
      <c r="B978" s="344" t="s">
        <v>4656</v>
      </c>
      <c r="C978" s="344">
        <v>860</v>
      </c>
      <c r="D978" s="344"/>
      <c r="E978" s="190" t="s">
        <v>434</v>
      </c>
      <c r="F978" s="183" t="s">
        <v>1316</v>
      </c>
      <c r="G978" s="183" t="s">
        <v>4657</v>
      </c>
      <c r="H978" s="184">
        <v>401031022947</v>
      </c>
      <c r="I978" s="185" t="s">
        <v>4658</v>
      </c>
      <c r="J978" s="146" t="s">
        <v>4659</v>
      </c>
      <c r="K978" s="247"/>
      <c r="L978" s="186">
        <v>44804</v>
      </c>
      <c r="M978" s="530">
        <v>3700000</v>
      </c>
    </row>
    <row r="979" spans="1:13" x14ac:dyDescent="0.25">
      <c r="A979" s="344"/>
      <c r="B979" s="344" t="s">
        <v>4254</v>
      </c>
      <c r="C979" s="344">
        <v>861</v>
      </c>
      <c r="D979" s="344"/>
      <c r="E979" s="190" t="s">
        <v>87</v>
      </c>
      <c r="F979" s="183" t="s">
        <v>4689</v>
      </c>
      <c r="G979" s="183" t="s">
        <v>4690</v>
      </c>
      <c r="H979" s="184">
        <v>101241171551</v>
      </c>
      <c r="I979" s="185" t="s">
        <v>4691</v>
      </c>
      <c r="J979" s="146" t="s">
        <v>4692</v>
      </c>
      <c r="K979" s="247"/>
      <c r="L979" s="186">
        <v>44805</v>
      </c>
      <c r="M979" s="530">
        <v>3100000</v>
      </c>
    </row>
    <row r="980" spans="1:13" x14ac:dyDescent="0.25">
      <c r="A980" s="344"/>
      <c r="B980" s="344" t="s">
        <v>4454</v>
      </c>
      <c r="C980" s="344">
        <v>862</v>
      </c>
      <c r="D980" s="344"/>
      <c r="E980" s="190" t="s">
        <v>435</v>
      </c>
      <c r="F980" s="183" t="s">
        <v>539</v>
      </c>
      <c r="G980" s="183" t="s">
        <v>4693</v>
      </c>
      <c r="H980" s="184">
        <v>101231157533</v>
      </c>
      <c r="I980" s="185" t="s">
        <v>4694</v>
      </c>
      <c r="J980" s="146" t="s">
        <v>4695</v>
      </c>
      <c r="K980" s="247"/>
      <c r="L980" s="186">
        <v>44807</v>
      </c>
      <c r="M980" s="530">
        <v>3700000</v>
      </c>
    </row>
    <row r="981" spans="1:13" x14ac:dyDescent="0.25">
      <c r="A981" s="344"/>
      <c r="B981" s="344" t="s">
        <v>4448</v>
      </c>
      <c r="C981" s="344">
        <v>863</v>
      </c>
      <c r="D981" s="344"/>
      <c r="E981" s="190" t="s">
        <v>192</v>
      </c>
      <c r="F981" s="183" t="s">
        <v>57</v>
      </c>
      <c r="G981" s="183" t="s">
        <v>4696</v>
      </c>
      <c r="H981" s="184">
        <v>101252179211</v>
      </c>
      <c r="I981" s="185" t="s">
        <v>4697</v>
      </c>
      <c r="J981" s="146" t="s">
        <v>4698</v>
      </c>
      <c r="K981" s="247"/>
      <c r="L981" s="186">
        <v>44807</v>
      </c>
      <c r="M981" s="530">
        <v>3140000</v>
      </c>
    </row>
    <row r="982" spans="1:13" x14ac:dyDescent="0.25">
      <c r="A982" s="344"/>
      <c r="B982" s="344" t="s">
        <v>4453</v>
      </c>
      <c r="C982" s="344">
        <v>864</v>
      </c>
      <c r="D982" s="344"/>
      <c r="E982" s="190" t="s">
        <v>435</v>
      </c>
      <c r="F982" s="183" t="s">
        <v>4699</v>
      </c>
      <c r="G982" s="183" t="s">
        <v>4700</v>
      </c>
      <c r="H982" s="184">
        <v>108111017659</v>
      </c>
      <c r="I982" s="185" t="s">
        <v>4701</v>
      </c>
      <c r="J982" s="146" t="s">
        <v>4702</v>
      </c>
      <c r="K982" s="247"/>
      <c r="L982" s="186">
        <v>44807</v>
      </c>
      <c r="M982" s="530">
        <v>3720000</v>
      </c>
    </row>
    <row r="983" spans="1:13" x14ac:dyDescent="0.25">
      <c r="A983" s="344"/>
      <c r="B983" s="344" t="s">
        <v>4703</v>
      </c>
      <c r="C983" s="344">
        <v>865</v>
      </c>
      <c r="D983" s="344"/>
      <c r="E983" s="190" t="s">
        <v>435</v>
      </c>
      <c r="F983" s="183" t="s">
        <v>1006</v>
      </c>
      <c r="G983" s="183" t="s">
        <v>4704</v>
      </c>
      <c r="H983" s="184">
        <v>101251175314</v>
      </c>
      <c r="I983" s="185" t="s">
        <v>4705</v>
      </c>
      <c r="J983" s="146"/>
      <c r="K983" s="247"/>
      <c r="L983" s="186">
        <v>44809</v>
      </c>
      <c r="M983" s="530">
        <v>3900000</v>
      </c>
    </row>
    <row r="984" spans="1:13" x14ac:dyDescent="0.25">
      <c r="A984" s="344"/>
      <c r="B984" s="344" t="s">
        <v>4706</v>
      </c>
      <c r="C984" s="344">
        <v>866</v>
      </c>
      <c r="D984" s="344"/>
      <c r="E984" s="190" t="s">
        <v>435</v>
      </c>
      <c r="F984" s="183" t="s">
        <v>4707</v>
      </c>
      <c r="G984" s="183" t="s">
        <v>4708</v>
      </c>
      <c r="H984" s="184">
        <v>101221060964</v>
      </c>
      <c r="I984" s="185" t="s">
        <v>4709</v>
      </c>
      <c r="J984" s="146" t="s">
        <v>4710</v>
      </c>
      <c r="K984" s="247"/>
      <c r="L984" s="186">
        <v>44810</v>
      </c>
      <c r="M984" s="530">
        <v>3770000</v>
      </c>
    </row>
    <row r="985" spans="1:13" x14ac:dyDescent="0.25">
      <c r="A985" s="344"/>
      <c r="B985" s="344" t="s">
        <v>4711</v>
      </c>
      <c r="C985" s="344">
        <v>867</v>
      </c>
      <c r="D985" s="344"/>
      <c r="E985" s="190" t="s">
        <v>435</v>
      </c>
      <c r="F985" s="183" t="s">
        <v>4712</v>
      </c>
      <c r="G985" s="183" t="s">
        <v>4713</v>
      </c>
      <c r="H985" s="184">
        <v>101211233220</v>
      </c>
      <c r="I985" s="185" t="s">
        <v>4714</v>
      </c>
      <c r="J985" s="146" t="s">
        <v>4715</v>
      </c>
      <c r="K985" s="247"/>
      <c r="L985" s="186">
        <v>44812</v>
      </c>
      <c r="M985" s="530">
        <v>3600000</v>
      </c>
    </row>
    <row r="986" spans="1:13" x14ac:dyDescent="0.25">
      <c r="A986" s="344"/>
      <c r="B986" s="344" t="s">
        <v>4464</v>
      </c>
      <c r="C986" s="344">
        <v>868</v>
      </c>
      <c r="D986" s="344"/>
      <c r="E986" s="190" t="s">
        <v>1536</v>
      </c>
      <c r="F986" s="183" t="s">
        <v>4716</v>
      </c>
      <c r="G986" s="183" t="s">
        <v>4717</v>
      </c>
      <c r="H986" s="184">
        <v>220631006405</v>
      </c>
      <c r="I986" s="185" t="s">
        <v>4718</v>
      </c>
      <c r="J986" s="146" t="s">
        <v>4719</v>
      </c>
      <c r="K986" s="247"/>
      <c r="L986" s="186">
        <v>44816</v>
      </c>
      <c r="M986" s="530">
        <v>4300000</v>
      </c>
    </row>
    <row r="987" spans="1:13" x14ac:dyDescent="0.25">
      <c r="A987" s="344"/>
      <c r="B987" s="344" t="s">
        <v>4450</v>
      </c>
      <c r="C987" s="344">
        <v>869</v>
      </c>
      <c r="D987" s="344"/>
      <c r="E987" s="190" t="s">
        <v>4449</v>
      </c>
      <c r="F987" s="183" t="s">
        <v>4720</v>
      </c>
      <c r="G987" s="183" t="s">
        <v>4721</v>
      </c>
      <c r="H987" s="184">
        <v>117031025787</v>
      </c>
      <c r="I987" s="185" t="s">
        <v>4722</v>
      </c>
      <c r="J987" s="146" t="s">
        <v>4723</v>
      </c>
      <c r="K987" s="247"/>
      <c r="L987" s="186">
        <v>44816</v>
      </c>
      <c r="M987" s="530">
        <v>5000000</v>
      </c>
    </row>
    <row r="988" spans="1:13" x14ac:dyDescent="0.25">
      <c r="A988" s="344"/>
      <c r="B988" s="344" t="s">
        <v>1847</v>
      </c>
      <c r="C988" s="344">
        <v>870</v>
      </c>
      <c r="D988" s="344"/>
      <c r="E988" s="190" t="s">
        <v>435</v>
      </c>
      <c r="F988" s="183" t="s">
        <v>4724</v>
      </c>
      <c r="G988" s="183" t="s">
        <v>4725</v>
      </c>
      <c r="H988" s="184">
        <v>101981082636</v>
      </c>
      <c r="I988" s="185" t="s">
        <v>4726</v>
      </c>
      <c r="J988" s="146" t="s">
        <v>4727</v>
      </c>
      <c r="K988" s="247"/>
      <c r="L988" s="186">
        <v>44816</v>
      </c>
      <c r="M988" s="530">
        <v>3600000</v>
      </c>
    </row>
    <row r="989" spans="1:13" x14ac:dyDescent="0.25">
      <c r="A989" s="344"/>
      <c r="B989" s="344" t="s">
        <v>1859</v>
      </c>
      <c r="C989" s="344">
        <v>871</v>
      </c>
      <c r="D989" s="344"/>
      <c r="E989" s="190" t="s">
        <v>435</v>
      </c>
      <c r="F989" s="183" t="s">
        <v>4728</v>
      </c>
      <c r="G989" s="183" t="s">
        <v>4729</v>
      </c>
      <c r="H989" s="184">
        <v>401011077480</v>
      </c>
      <c r="I989" s="185" t="s">
        <v>4730</v>
      </c>
      <c r="J989" s="146" t="s">
        <v>4731</v>
      </c>
      <c r="K989" s="247"/>
      <c r="L989" s="186">
        <v>44816</v>
      </c>
      <c r="M989" s="530">
        <v>3600000</v>
      </c>
    </row>
    <row r="990" spans="1:13" x14ac:dyDescent="0.25">
      <c r="A990" s="344"/>
      <c r="B990" s="344" t="s">
        <v>4431</v>
      </c>
      <c r="C990" s="344">
        <v>872</v>
      </c>
      <c r="D990" s="344"/>
      <c r="E990" s="190" t="s">
        <v>192</v>
      </c>
      <c r="F990" s="183" t="s">
        <v>4732</v>
      </c>
      <c r="G990" s="183" t="s">
        <v>3839</v>
      </c>
      <c r="H990" s="184">
        <v>106301029921</v>
      </c>
      <c r="I990" s="185" t="s">
        <v>4733</v>
      </c>
      <c r="J990" s="146" t="s">
        <v>4734</v>
      </c>
      <c r="K990" s="247"/>
      <c r="L990" s="186">
        <v>44817</v>
      </c>
      <c r="M990" s="530">
        <v>2400000</v>
      </c>
    </row>
    <row r="991" spans="1:13" x14ac:dyDescent="0.25">
      <c r="A991" s="344"/>
      <c r="B991" s="344" t="s">
        <v>4461</v>
      </c>
      <c r="C991" s="344">
        <v>873</v>
      </c>
      <c r="D991" s="344"/>
      <c r="E991" s="190" t="s">
        <v>309</v>
      </c>
      <c r="F991" s="183" t="s">
        <v>3191</v>
      </c>
      <c r="G991" s="183" t="s">
        <v>4735</v>
      </c>
      <c r="H991" s="184">
        <v>101251194844</v>
      </c>
      <c r="I991" s="185" t="s">
        <v>4736</v>
      </c>
      <c r="J991" s="146" t="s">
        <v>4737</v>
      </c>
      <c r="K991" s="247"/>
      <c r="L991" s="186">
        <v>44818</v>
      </c>
      <c r="M991" s="530">
        <v>4600000</v>
      </c>
    </row>
    <row r="992" spans="1:13" x14ac:dyDescent="0.25">
      <c r="A992" s="344"/>
      <c r="B992" s="344" t="s">
        <v>4738</v>
      </c>
      <c r="C992" s="344">
        <v>874</v>
      </c>
      <c r="D992" s="344"/>
      <c r="E992" s="190" t="s">
        <v>28</v>
      </c>
      <c r="F992" s="183" t="s">
        <v>4739</v>
      </c>
      <c r="G992" s="183" t="s">
        <v>4740</v>
      </c>
      <c r="H992" s="184">
        <v>101251166953</v>
      </c>
      <c r="I992" s="185" t="s">
        <v>3462</v>
      </c>
      <c r="J992" s="146" t="s">
        <v>4741</v>
      </c>
      <c r="K992" s="247"/>
      <c r="L992" s="186">
        <v>44819</v>
      </c>
      <c r="M992" s="530">
        <v>2700000</v>
      </c>
    </row>
    <row r="993" spans="1:13" x14ac:dyDescent="0.25">
      <c r="A993" s="344"/>
      <c r="B993" s="344" t="s">
        <v>4742</v>
      </c>
      <c r="C993" s="344">
        <v>875</v>
      </c>
      <c r="D993" s="344"/>
      <c r="E993" s="190" t="s">
        <v>1536</v>
      </c>
      <c r="F993" s="183" t="s">
        <v>4743</v>
      </c>
      <c r="G993" s="183" t="s">
        <v>4744</v>
      </c>
      <c r="H993" s="184">
        <v>101252079754</v>
      </c>
      <c r="I993" s="185" t="s">
        <v>4745</v>
      </c>
      <c r="J993" s="146" t="s">
        <v>723</v>
      </c>
      <c r="K993" s="247"/>
      <c r="L993" s="186">
        <v>44821</v>
      </c>
      <c r="M993" s="530">
        <v>4800000</v>
      </c>
    </row>
    <row r="994" spans="1:13" x14ac:dyDescent="0.25">
      <c r="A994" s="344"/>
      <c r="B994" s="344" t="s">
        <v>4439</v>
      </c>
      <c r="C994" s="344">
        <v>876</v>
      </c>
      <c r="D994" s="344"/>
      <c r="E994" s="190" t="s">
        <v>224</v>
      </c>
      <c r="F994" s="183" t="s">
        <v>4747</v>
      </c>
      <c r="G994" s="183" t="s">
        <v>4746</v>
      </c>
      <c r="H994" s="184">
        <v>101221115926</v>
      </c>
      <c r="I994" s="185" t="s">
        <v>4748</v>
      </c>
      <c r="J994" s="146" t="s">
        <v>4749</v>
      </c>
      <c r="K994" s="247"/>
      <c r="L994" s="186">
        <v>44821</v>
      </c>
      <c r="M994" s="530">
        <v>2200000</v>
      </c>
    </row>
    <row r="995" spans="1:13" x14ac:dyDescent="0.25">
      <c r="A995" s="344"/>
      <c r="B995" s="344" t="s">
        <v>4433</v>
      </c>
      <c r="C995" s="344">
        <v>877</v>
      </c>
      <c r="D995" s="344"/>
      <c r="E995" s="190" t="s">
        <v>224</v>
      </c>
      <c r="F995" s="183" t="s">
        <v>4750</v>
      </c>
      <c r="G995" s="183" t="s">
        <v>4751</v>
      </c>
      <c r="H995" s="184">
        <v>102031014223</v>
      </c>
      <c r="I995" s="185" t="s">
        <v>4752</v>
      </c>
      <c r="J995" s="146" t="s">
        <v>4753</v>
      </c>
      <c r="K995" s="247"/>
      <c r="L995" s="186">
        <v>44824</v>
      </c>
      <c r="M995" s="530">
        <v>2000000</v>
      </c>
    </row>
    <row r="996" spans="1:13" x14ac:dyDescent="0.25">
      <c r="A996" s="344"/>
      <c r="B996" s="344" t="s">
        <v>4754</v>
      </c>
      <c r="C996" s="344">
        <v>878</v>
      </c>
      <c r="D996" s="344"/>
      <c r="E996" s="190" t="s">
        <v>435</v>
      </c>
      <c r="F996" s="183" t="s">
        <v>4755</v>
      </c>
      <c r="G996" s="183" t="s">
        <v>4756</v>
      </c>
      <c r="H996" s="184">
        <v>101251141093</v>
      </c>
      <c r="I996" s="185" t="s">
        <v>4757</v>
      </c>
      <c r="J996" s="146" t="s">
        <v>4758</v>
      </c>
      <c r="K996" s="247"/>
      <c r="L996" s="186">
        <v>44824</v>
      </c>
      <c r="M996" s="530">
        <v>3400000</v>
      </c>
    </row>
    <row r="997" spans="1:13" x14ac:dyDescent="0.25">
      <c r="A997" s="344"/>
      <c r="B997" s="344" t="s">
        <v>4759</v>
      </c>
      <c r="C997" s="344">
        <v>879</v>
      </c>
      <c r="D997" s="344"/>
      <c r="E997" s="190" t="s">
        <v>735</v>
      </c>
      <c r="F997" s="183" t="s">
        <v>4760</v>
      </c>
      <c r="G997" s="183" t="s">
        <v>4761</v>
      </c>
      <c r="H997" s="184">
        <v>117011036535</v>
      </c>
      <c r="I997" s="185" t="s">
        <v>4762</v>
      </c>
      <c r="J997" s="146" t="s">
        <v>4763</v>
      </c>
      <c r="K997" s="247"/>
      <c r="L997" s="186">
        <v>44824</v>
      </c>
      <c r="M997" s="530">
        <v>2000000</v>
      </c>
    </row>
    <row r="998" spans="1:13" x14ac:dyDescent="0.25">
      <c r="A998" s="344"/>
      <c r="B998" s="344" t="s">
        <v>4455</v>
      </c>
      <c r="C998" s="344">
        <v>880</v>
      </c>
      <c r="D998" s="344"/>
      <c r="E998" s="190" t="s">
        <v>435</v>
      </c>
      <c r="F998" s="183" t="s">
        <v>4354</v>
      </c>
      <c r="G998" s="183" t="s">
        <v>4764</v>
      </c>
      <c r="H998" s="184">
        <v>101251088307</v>
      </c>
      <c r="I998" s="185" t="s">
        <v>4765</v>
      </c>
      <c r="J998" s="146" t="s">
        <v>4766</v>
      </c>
      <c r="K998" s="247"/>
      <c r="L998" s="186">
        <v>44827</v>
      </c>
      <c r="M998" s="530">
        <v>3800000</v>
      </c>
    </row>
    <row r="999" spans="1:13" x14ac:dyDescent="0.25">
      <c r="A999" s="344"/>
      <c r="B999" s="344" t="s">
        <v>4767</v>
      </c>
      <c r="C999" s="344">
        <v>881</v>
      </c>
      <c r="D999" s="344"/>
      <c r="E999" s="190" t="s">
        <v>224</v>
      </c>
      <c r="F999" s="183" t="s">
        <v>4768</v>
      </c>
      <c r="G999" s="183" t="s">
        <v>4769</v>
      </c>
      <c r="H999" s="184">
        <v>423012007075</v>
      </c>
      <c r="I999" s="185" t="s">
        <v>4770</v>
      </c>
      <c r="J999" s="146" t="s">
        <v>4771</v>
      </c>
      <c r="K999" s="247"/>
      <c r="L999" s="186">
        <v>44828</v>
      </c>
      <c r="M999" s="530">
        <v>2250000</v>
      </c>
    </row>
    <row r="1000" spans="1:13" x14ac:dyDescent="0.25">
      <c r="A1000" s="344"/>
      <c r="B1000" s="344" t="s">
        <v>4457</v>
      </c>
      <c r="C1000" s="344">
        <v>882</v>
      </c>
      <c r="D1000" s="344"/>
      <c r="E1000" s="190" t="s">
        <v>435</v>
      </c>
      <c r="F1000" s="183" t="s">
        <v>2583</v>
      </c>
      <c r="G1000" s="183" t="s">
        <v>2584</v>
      </c>
      <c r="H1000" s="184">
        <v>501031018462</v>
      </c>
      <c r="I1000" s="185" t="s">
        <v>4772</v>
      </c>
      <c r="J1000" s="146" t="s">
        <v>4773</v>
      </c>
      <c r="K1000" s="247"/>
      <c r="L1000" s="186">
        <v>44830</v>
      </c>
      <c r="M1000" s="530">
        <v>4000000</v>
      </c>
    </row>
    <row r="1001" spans="1:13" x14ac:dyDescent="0.25">
      <c r="A1001" s="344"/>
      <c r="B1001" s="344" t="s">
        <v>4667</v>
      </c>
      <c r="C1001" s="344">
        <v>883</v>
      </c>
      <c r="D1001" s="344"/>
      <c r="E1001" s="190" t="s">
        <v>435</v>
      </c>
      <c r="F1001" s="183" t="s">
        <v>4774</v>
      </c>
      <c r="G1001" s="183" t="s">
        <v>4775</v>
      </c>
      <c r="H1001" s="184">
        <v>101251143180</v>
      </c>
      <c r="I1001" s="185" t="s">
        <v>4776</v>
      </c>
      <c r="J1001" s="146" t="s">
        <v>4777</v>
      </c>
      <c r="K1001" s="247"/>
      <c r="L1001" s="186">
        <v>44831</v>
      </c>
      <c r="M1001" s="530">
        <v>3900000</v>
      </c>
    </row>
    <row r="1002" spans="1:13" x14ac:dyDescent="0.25">
      <c r="A1002" s="344"/>
      <c r="B1002" s="344" t="s">
        <v>2636</v>
      </c>
      <c r="C1002" s="344">
        <v>884</v>
      </c>
      <c r="D1002" s="344"/>
      <c r="E1002" s="190" t="s">
        <v>435</v>
      </c>
      <c r="F1002" s="183" t="s">
        <v>1215</v>
      </c>
      <c r="G1002" s="183" t="s">
        <v>4778</v>
      </c>
      <c r="H1002" s="184">
        <v>105011009952</v>
      </c>
      <c r="I1002" s="185" t="s">
        <v>4779</v>
      </c>
      <c r="J1002" s="146" t="s">
        <v>4780</v>
      </c>
      <c r="K1002" s="247"/>
      <c r="L1002" s="186">
        <v>44833</v>
      </c>
      <c r="M1002" s="530">
        <v>3500000</v>
      </c>
    </row>
    <row r="1003" spans="1:13" x14ac:dyDescent="0.25">
      <c r="A1003" s="344"/>
      <c r="B1003" s="344" t="s">
        <v>4781</v>
      </c>
      <c r="C1003" s="344">
        <v>885</v>
      </c>
      <c r="D1003" s="344"/>
      <c r="E1003" s="190" t="s">
        <v>1536</v>
      </c>
      <c r="F1003" s="183" t="s">
        <v>3501</v>
      </c>
      <c r="G1003" s="183" t="s">
        <v>4782</v>
      </c>
      <c r="H1003" s="184">
        <v>101981061907</v>
      </c>
      <c r="I1003" s="185" t="s">
        <v>4783</v>
      </c>
      <c r="J1003" s="146" t="s">
        <v>4784</v>
      </c>
      <c r="K1003" s="247"/>
      <c r="L1003" s="186">
        <v>44833</v>
      </c>
      <c r="M1003" s="530">
        <v>4400000</v>
      </c>
    </row>
    <row r="1004" spans="1:13" x14ac:dyDescent="0.25">
      <c r="A1004" s="344"/>
      <c r="B1004" s="344" t="s">
        <v>4670</v>
      </c>
      <c r="C1004" s="344">
        <v>886</v>
      </c>
      <c r="D1004" s="344"/>
      <c r="E1004" s="190" t="s">
        <v>435</v>
      </c>
      <c r="F1004" s="183" t="s">
        <v>4785</v>
      </c>
      <c r="G1004" s="183" t="s">
        <v>110</v>
      </c>
      <c r="H1004" s="184">
        <v>201031046430</v>
      </c>
      <c r="I1004" s="185" t="s">
        <v>4786</v>
      </c>
      <c r="J1004" s="146" t="s">
        <v>4787</v>
      </c>
      <c r="K1004" s="247"/>
      <c r="L1004" s="186">
        <v>44833</v>
      </c>
      <c r="M1004" s="530">
        <v>3400000</v>
      </c>
    </row>
    <row r="1005" spans="1:13" x14ac:dyDescent="0.25">
      <c r="A1005" s="344"/>
      <c r="B1005" s="344" t="s">
        <v>4680</v>
      </c>
      <c r="C1005" s="344">
        <v>887</v>
      </c>
      <c r="D1005" s="344"/>
      <c r="E1005" s="190" t="s">
        <v>435</v>
      </c>
      <c r="F1005" s="183" t="s">
        <v>4085</v>
      </c>
      <c r="G1005" s="183" t="s">
        <v>473</v>
      </c>
      <c r="H1005" s="184">
        <v>301071034443</v>
      </c>
      <c r="I1005" s="185" t="s">
        <v>4788</v>
      </c>
      <c r="J1005" s="146" t="s">
        <v>4789</v>
      </c>
      <c r="K1005" s="247"/>
      <c r="L1005" s="186">
        <v>44835</v>
      </c>
      <c r="M1005" s="530">
        <v>4000000</v>
      </c>
    </row>
    <row r="1006" spans="1:13" x14ac:dyDescent="0.25">
      <c r="A1006" s="344"/>
      <c r="B1006" s="344" t="s">
        <v>4679</v>
      </c>
      <c r="C1006" s="344">
        <v>888</v>
      </c>
      <c r="D1006" s="344"/>
      <c r="E1006" s="190" t="s">
        <v>435</v>
      </c>
      <c r="F1006" s="183" t="s">
        <v>3761</v>
      </c>
      <c r="G1006" s="183" t="s">
        <v>3762</v>
      </c>
      <c r="H1006" s="184">
        <v>108112010158</v>
      </c>
      <c r="I1006" s="185" t="s">
        <v>4790</v>
      </c>
      <c r="J1006" s="146" t="s">
        <v>3764</v>
      </c>
      <c r="K1006" s="247"/>
      <c r="L1006" s="186">
        <v>44835</v>
      </c>
      <c r="M1006" s="530">
        <v>3400000</v>
      </c>
    </row>
    <row r="1007" spans="1:13" x14ac:dyDescent="0.25">
      <c r="A1007" s="344"/>
      <c r="B1007" s="344" t="s">
        <v>4664</v>
      </c>
      <c r="C1007" s="344">
        <v>890</v>
      </c>
      <c r="D1007" s="344"/>
      <c r="E1007" s="190" t="s">
        <v>435</v>
      </c>
      <c r="F1007" s="183" t="s">
        <v>4791</v>
      </c>
      <c r="G1007" s="183" t="s">
        <v>4792</v>
      </c>
      <c r="H1007" s="184">
        <v>101232121003</v>
      </c>
      <c r="I1007" s="185" t="s">
        <v>4793</v>
      </c>
      <c r="J1007" s="146" t="s">
        <v>4794</v>
      </c>
      <c r="K1007" s="247"/>
      <c r="L1007" s="186">
        <v>44835</v>
      </c>
      <c r="M1007" s="530">
        <v>3710000</v>
      </c>
    </row>
    <row r="1008" spans="1:13" x14ac:dyDescent="0.25">
      <c r="A1008" s="344"/>
      <c r="B1008" s="344" t="s">
        <v>3540</v>
      </c>
      <c r="C1008" s="344">
        <v>889</v>
      </c>
      <c r="D1008" s="344"/>
      <c r="E1008" s="190" t="s">
        <v>1536</v>
      </c>
      <c r="F1008" s="183" t="s">
        <v>4795</v>
      </c>
      <c r="G1008" s="183" t="s">
        <v>4796</v>
      </c>
      <c r="H1008" s="184">
        <v>213011002262</v>
      </c>
      <c r="I1008" s="185" t="s">
        <v>4797</v>
      </c>
      <c r="J1008" s="146" t="s">
        <v>4798</v>
      </c>
      <c r="K1008" s="247"/>
      <c r="L1008" s="186">
        <v>44835</v>
      </c>
      <c r="M1008" s="530">
        <v>3200000</v>
      </c>
    </row>
    <row r="1009" spans="1:13" x14ac:dyDescent="0.25">
      <c r="A1009" s="344"/>
      <c r="B1009" s="344" t="s">
        <v>4276</v>
      </c>
      <c r="C1009" s="344">
        <v>891</v>
      </c>
      <c r="D1009" s="344"/>
      <c r="E1009" s="190" t="s">
        <v>192</v>
      </c>
      <c r="F1009" s="183" t="s">
        <v>4799</v>
      </c>
      <c r="G1009" s="183" t="s">
        <v>4800</v>
      </c>
      <c r="H1009" s="184">
        <v>101211266000</v>
      </c>
      <c r="I1009" s="185" t="s">
        <v>4801</v>
      </c>
      <c r="J1009" s="146" t="s">
        <v>4802</v>
      </c>
      <c r="K1009" s="247"/>
      <c r="L1009" s="186">
        <v>44837</v>
      </c>
      <c r="M1009" s="530">
        <v>2100000</v>
      </c>
    </row>
    <row r="1010" spans="1:13" x14ac:dyDescent="0.25">
      <c r="A1010" s="344"/>
      <c r="B1010" s="344" t="s">
        <v>4463</v>
      </c>
      <c r="C1010" s="344">
        <v>892</v>
      </c>
      <c r="D1010" s="344"/>
      <c r="E1010" s="190" t="s">
        <v>1536</v>
      </c>
      <c r="F1010" s="183" t="s">
        <v>4803</v>
      </c>
      <c r="G1010" s="183" t="s">
        <v>4804</v>
      </c>
      <c r="H1010" s="184">
        <v>101981059191</v>
      </c>
      <c r="I1010" s="185" t="s">
        <v>4805</v>
      </c>
      <c r="J1010" s="146" t="s">
        <v>4806</v>
      </c>
      <c r="K1010" s="247"/>
      <c r="L1010" s="186">
        <v>44837</v>
      </c>
      <c r="M1010" s="530">
        <v>4250000</v>
      </c>
    </row>
    <row r="1011" spans="1:13" x14ac:dyDescent="0.25">
      <c r="A1011" s="344"/>
      <c r="B1011" s="344">
        <v>5700118</v>
      </c>
      <c r="C1011" s="344">
        <v>893</v>
      </c>
      <c r="D1011" s="344"/>
      <c r="E1011" s="190" t="s">
        <v>4807</v>
      </c>
      <c r="F1011" s="183" t="s">
        <v>4808</v>
      </c>
      <c r="G1011" s="183" t="s">
        <v>4809</v>
      </c>
      <c r="H1011" s="184">
        <v>101251095587</v>
      </c>
      <c r="I1011" s="185" t="s">
        <v>4810</v>
      </c>
      <c r="J1011" s="146" t="s">
        <v>4811</v>
      </c>
      <c r="K1011" s="247"/>
      <c r="L1011" s="186">
        <v>44838</v>
      </c>
      <c r="M1011" s="530">
        <v>1500000</v>
      </c>
    </row>
    <row r="1012" spans="1:13" x14ac:dyDescent="0.25">
      <c r="A1012" s="344"/>
      <c r="B1012" s="344" t="s">
        <v>4673</v>
      </c>
      <c r="C1012" s="344">
        <v>894</v>
      </c>
      <c r="D1012" s="344"/>
      <c r="E1012" s="190" t="s">
        <v>435</v>
      </c>
      <c r="F1012" s="183" t="s">
        <v>4812</v>
      </c>
      <c r="G1012" s="183" t="s">
        <v>4813</v>
      </c>
      <c r="H1012" s="184">
        <v>101221096159</v>
      </c>
      <c r="I1012" s="185" t="s">
        <v>4814</v>
      </c>
      <c r="J1012" s="146" t="s">
        <v>4815</v>
      </c>
      <c r="K1012" s="247"/>
      <c r="L1012" s="186">
        <v>44839</v>
      </c>
      <c r="M1012" s="530">
        <v>3800000</v>
      </c>
    </row>
    <row r="1013" spans="1:13" x14ac:dyDescent="0.25">
      <c r="A1013" s="344"/>
      <c r="B1013" s="344" t="s">
        <v>4675</v>
      </c>
      <c r="C1013" s="344">
        <v>895</v>
      </c>
      <c r="D1013" s="344"/>
      <c r="E1013" s="190" t="s">
        <v>435</v>
      </c>
      <c r="F1013" s="183" t="s">
        <v>4816</v>
      </c>
      <c r="G1013" s="183" t="s">
        <v>4817</v>
      </c>
      <c r="H1013" s="184">
        <v>101251177389</v>
      </c>
      <c r="I1013" s="185" t="s">
        <v>4818</v>
      </c>
      <c r="J1013" s="146" t="s">
        <v>4819</v>
      </c>
      <c r="K1013" s="247"/>
      <c r="L1013" s="186">
        <v>44840</v>
      </c>
      <c r="M1013" s="530">
        <v>3630000</v>
      </c>
    </row>
    <row r="1014" spans="1:13" x14ac:dyDescent="0.25">
      <c r="A1014" s="344"/>
      <c r="B1014" s="344" t="s">
        <v>4682</v>
      </c>
      <c r="C1014" s="344">
        <v>896</v>
      </c>
      <c r="D1014" s="344"/>
      <c r="E1014" s="190" t="s">
        <v>435</v>
      </c>
      <c r="F1014" s="183" t="s">
        <v>4820</v>
      </c>
      <c r="G1014" s="183" t="s">
        <v>4821</v>
      </c>
      <c r="H1014" s="184">
        <v>313012006172</v>
      </c>
      <c r="I1014" s="185" t="s">
        <v>4822</v>
      </c>
      <c r="J1014" s="146" t="s">
        <v>4823</v>
      </c>
      <c r="K1014" s="247"/>
      <c r="L1014" s="186">
        <v>44840</v>
      </c>
      <c r="M1014" s="530">
        <v>3820000</v>
      </c>
    </row>
    <row r="1015" spans="1:13" x14ac:dyDescent="0.25">
      <c r="A1015" s="344"/>
      <c r="B1015" s="344" t="s">
        <v>3233</v>
      </c>
      <c r="C1015" s="344">
        <v>897</v>
      </c>
      <c r="D1015" s="344"/>
      <c r="E1015" s="190" t="s">
        <v>3232</v>
      </c>
      <c r="F1015" s="183" t="s">
        <v>4824</v>
      </c>
      <c r="G1015" s="183"/>
      <c r="H1015" s="184">
        <v>103011000605</v>
      </c>
      <c r="I1015" s="185" t="s">
        <v>4825</v>
      </c>
      <c r="J1015" s="146" t="s">
        <v>4826</v>
      </c>
      <c r="K1015" s="247"/>
      <c r="L1015" s="186">
        <v>44842</v>
      </c>
      <c r="M1015" s="530"/>
    </row>
    <row r="1016" spans="1:13" x14ac:dyDescent="0.25">
      <c r="A1016" s="344"/>
      <c r="B1016" s="344" t="s">
        <v>4663</v>
      </c>
      <c r="C1016" s="344">
        <v>898</v>
      </c>
      <c r="D1016" s="344"/>
      <c r="E1016" s="190" t="s">
        <v>434</v>
      </c>
      <c r="F1016" s="183" t="s">
        <v>1006</v>
      </c>
      <c r="G1016" s="183" t="s">
        <v>4827</v>
      </c>
      <c r="H1016" s="184">
        <v>101981072698</v>
      </c>
      <c r="I1016" s="185" t="s">
        <v>4828</v>
      </c>
      <c r="J1016" s="146" t="s">
        <v>2100</v>
      </c>
      <c r="K1016" s="247"/>
      <c r="L1016" s="186">
        <v>44844</v>
      </c>
      <c r="M1016" s="530">
        <v>3500000</v>
      </c>
    </row>
    <row r="1017" spans="1:13" x14ac:dyDescent="0.25">
      <c r="A1017" s="344"/>
      <c r="B1017" s="344" t="s">
        <v>3936</v>
      </c>
      <c r="C1017" s="344">
        <v>899</v>
      </c>
      <c r="D1017" s="344"/>
      <c r="E1017" s="190" t="s">
        <v>787</v>
      </c>
      <c r="F1017" s="183" t="s">
        <v>4521</v>
      </c>
      <c r="G1017" s="183" t="s">
        <v>4829</v>
      </c>
      <c r="H1017" s="184">
        <v>711991663487</v>
      </c>
      <c r="I1017" s="185" t="s">
        <v>4830</v>
      </c>
      <c r="J1017" s="146" t="s">
        <v>4524</v>
      </c>
      <c r="K1017" s="247"/>
      <c r="L1017" s="186">
        <v>44845</v>
      </c>
      <c r="M1017" s="530">
        <v>5000000</v>
      </c>
    </row>
    <row r="1018" spans="1:13" x14ac:dyDescent="0.25">
      <c r="A1018" s="344"/>
      <c r="B1018" s="344" t="s">
        <v>4666</v>
      </c>
      <c r="C1018" s="344">
        <v>900</v>
      </c>
      <c r="D1018" s="344"/>
      <c r="E1018" s="190" t="s">
        <v>434</v>
      </c>
      <c r="F1018" s="183" t="s">
        <v>4831</v>
      </c>
      <c r="G1018" s="183" t="s">
        <v>4832</v>
      </c>
      <c r="H1018" s="184">
        <v>117152009643</v>
      </c>
      <c r="I1018" s="185" t="s">
        <v>4833</v>
      </c>
      <c r="J1018" s="146" t="s">
        <v>4834</v>
      </c>
      <c r="K1018" s="247"/>
      <c r="L1018" s="186">
        <v>44846</v>
      </c>
      <c r="M1018" s="530">
        <v>3600000</v>
      </c>
    </row>
    <row r="1019" spans="1:13" x14ac:dyDescent="0.25">
      <c r="A1019" s="344"/>
      <c r="B1019" s="344" t="s">
        <v>4462</v>
      </c>
      <c r="C1019" s="344">
        <v>901</v>
      </c>
      <c r="D1019" s="344"/>
      <c r="E1019" s="190" t="s">
        <v>309</v>
      </c>
      <c r="F1019" s="183" t="s">
        <v>4852</v>
      </c>
      <c r="G1019" s="183" t="s">
        <v>4853</v>
      </c>
      <c r="H1019" s="184">
        <v>103011005827</v>
      </c>
      <c r="I1019" s="185" t="s">
        <v>4854</v>
      </c>
      <c r="J1019" s="146" t="s">
        <v>4855</v>
      </c>
      <c r="K1019" s="247"/>
      <c r="L1019" s="186">
        <v>44849</v>
      </c>
      <c r="M1019" s="530">
        <v>4400000</v>
      </c>
    </row>
    <row r="1020" spans="1:13" x14ac:dyDescent="0.25">
      <c r="A1020" s="344"/>
      <c r="B1020" s="344" t="s">
        <v>4674</v>
      </c>
      <c r="C1020" s="344">
        <v>902</v>
      </c>
      <c r="D1020" s="344"/>
      <c r="E1020" s="190" t="s">
        <v>434</v>
      </c>
      <c r="F1020" s="183" t="s">
        <v>4856</v>
      </c>
      <c r="G1020" s="183" t="s">
        <v>4857</v>
      </c>
      <c r="H1020" s="184">
        <v>117121014137</v>
      </c>
      <c r="I1020" s="185" t="s">
        <v>4858</v>
      </c>
      <c r="J1020" s="146" t="s">
        <v>4859</v>
      </c>
      <c r="K1020" s="247"/>
      <c r="L1020" s="186">
        <v>44849</v>
      </c>
      <c r="M1020" s="530">
        <v>3600000</v>
      </c>
    </row>
    <row r="1021" spans="1:13" x14ac:dyDescent="0.25">
      <c r="A1021" s="344"/>
      <c r="B1021" s="344" t="s">
        <v>4860</v>
      </c>
      <c r="C1021" s="344">
        <v>903</v>
      </c>
      <c r="D1021" s="344"/>
      <c r="E1021" s="190" t="s">
        <v>787</v>
      </c>
      <c r="F1021" s="183" t="s">
        <v>4861</v>
      </c>
      <c r="G1021" s="183" t="s">
        <v>4862</v>
      </c>
      <c r="H1021" s="184">
        <v>301071003658</v>
      </c>
      <c r="I1021" s="185" t="s">
        <v>4863</v>
      </c>
      <c r="J1021" s="146" t="s">
        <v>4864</v>
      </c>
      <c r="K1021" s="247"/>
      <c r="L1021" s="186">
        <v>44850</v>
      </c>
      <c r="M1021" s="530">
        <v>6000000</v>
      </c>
    </row>
    <row r="1022" spans="1:13" x14ac:dyDescent="0.25">
      <c r="A1022" s="344"/>
      <c r="B1022" s="344" t="s">
        <v>4671</v>
      </c>
      <c r="C1022" s="344">
        <v>904</v>
      </c>
      <c r="D1022" s="344"/>
      <c r="E1022" s="190" t="s">
        <v>434</v>
      </c>
      <c r="F1022" s="183" t="s">
        <v>3367</v>
      </c>
      <c r="G1022" s="183" t="s">
        <v>3368</v>
      </c>
      <c r="H1022" s="184">
        <v>102031025424</v>
      </c>
      <c r="I1022" s="185" t="s">
        <v>3369</v>
      </c>
      <c r="J1022" s="146" t="s">
        <v>3370</v>
      </c>
      <c r="K1022" s="247"/>
      <c r="L1022" s="186">
        <v>44850</v>
      </c>
      <c r="M1022" s="530">
        <v>4600000</v>
      </c>
    </row>
    <row r="1023" spans="1:13" x14ac:dyDescent="0.25">
      <c r="A1023" s="344"/>
      <c r="B1023" s="344" t="s">
        <v>4672</v>
      </c>
      <c r="C1023" s="344">
        <v>905</v>
      </c>
      <c r="D1023" s="344"/>
      <c r="E1023" s="190" t="s">
        <v>434</v>
      </c>
      <c r="F1023" s="183" t="s">
        <v>4865</v>
      </c>
      <c r="G1023" s="183" t="s">
        <v>4866</v>
      </c>
      <c r="H1023" s="184">
        <v>101251157292</v>
      </c>
      <c r="I1023" s="185" t="s">
        <v>4867</v>
      </c>
      <c r="J1023" s="146" t="s">
        <v>4868</v>
      </c>
      <c r="K1023" s="247"/>
      <c r="L1023" s="186">
        <v>44854</v>
      </c>
      <c r="M1023" s="530">
        <v>3500000</v>
      </c>
    </row>
    <row r="1024" spans="1:13" x14ac:dyDescent="0.25">
      <c r="A1024" s="344"/>
      <c r="B1024" s="344" t="s">
        <v>4869</v>
      </c>
      <c r="C1024" s="344">
        <v>906</v>
      </c>
      <c r="D1024" s="344"/>
      <c r="E1024" s="190" t="s">
        <v>4870</v>
      </c>
      <c r="F1024" s="183" t="s">
        <v>4871</v>
      </c>
      <c r="G1024" s="183" t="s">
        <v>4872</v>
      </c>
      <c r="H1024" s="184">
        <v>101251196187</v>
      </c>
      <c r="I1024" s="185" t="s">
        <v>4873</v>
      </c>
      <c r="J1024" s="146" t="s">
        <v>2487</v>
      </c>
      <c r="K1024" s="247"/>
      <c r="L1024" s="186">
        <v>44854</v>
      </c>
      <c r="M1024" s="552">
        <v>3400000</v>
      </c>
    </row>
    <row r="1025" spans="1:13" x14ac:dyDescent="0.25">
      <c r="A1025" s="344"/>
      <c r="B1025" s="344" t="s">
        <v>4874</v>
      </c>
      <c r="C1025" s="344">
        <v>907</v>
      </c>
      <c r="D1025" s="344"/>
      <c r="E1025" s="190" t="s">
        <v>1593</v>
      </c>
      <c r="F1025" s="183" t="s">
        <v>63</v>
      </c>
      <c r="G1025" s="183" t="s">
        <v>4875</v>
      </c>
      <c r="H1025" s="184">
        <v>117071019843</v>
      </c>
      <c r="I1025" s="185" t="s">
        <v>4876</v>
      </c>
      <c r="J1025" s="146" t="s">
        <v>4877</v>
      </c>
      <c r="K1025" s="247"/>
      <c r="L1025" s="186">
        <v>44855</v>
      </c>
      <c r="M1025" s="530">
        <v>1200000</v>
      </c>
    </row>
    <row r="1026" spans="1:13" x14ac:dyDescent="0.25">
      <c r="A1026" s="344"/>
      <c r="B1026" s="344" t="s">
        <v>4676</v>
      </c>
      <c r="C1026" s="344">
        <v>908</v>
      </c>
      <c r="D1026" s="344"/>
      <c r="E1026" s="190" t="s">
        <v>434</v>
      </c>
      <c r="F1026" s="183" t="s">
        <v>484</v>
      </c>
      <c r="G1026" s="183" t="s">
        <v>4878</v>
      </c>
      <c r="H1026" s="184">
        <v>102031018818</v>
      </c>
      <c r="I1026" s="185" t="s">
        <v>4879</v>
      </c>
      <c r="J1026" s="146" t="s">
        <v>4880</v>
      </c>
      <c r="K1026" s="247"/>
      <c r="L1026" s="186">
        <v>44855</v>
      </c>
      <c r="M1026" s="530">
        <v>3600000</v>
      </c>
    </row>
    <row r="1027" spans="1:13" x14ac:dyDescent="0.25">
      <c r="A1027" s="344"/>
      <c r="B1027" s="344" t="s">
        <v>4881</v>
      </c>
      <c r="C1027" s="344">
        <v>909</v>
      </c>
      <c r="D1027" s="344"/>
      <c r="E1027" s="190" t="s">
        <v>434</v>
      </c>
      <c r="F1027" s="183" t="s">
        <v>4882</v>
      </c>
      <c r="G1027" s="183" t="s">
        <v>4883</v>
      </c>
      <c r="H1027" s="184">
        <v>102091024797</v>
      </c>
      <c r="I1027" s="185" t="s">
        <v>4884</v>
      </c>
      <c r="J1027" s="146" t="s">
        <v>4885</v>
      </c>
      <c r="K1027" s="247"/>
      <c r="L1027" s="186">
        <v>44855</v>
      </c>
      <c r="M1027" s="530">
        <v>7000000</v>
      </c>
    </row>
    <row r="1028" spans="1:13" x14ac:dyDescent="0.25">
      <c r="A1028" s="344"/>
      <c r="B1028" s="344" t="s">
        <v>4665</v>
      </c>
      <c r="C1028" s="344">
        <v>910</v>
      </c>
      <c r="D1028" s="344"/>
      <c r="E1028" s="190" t="s">
        <v>434</v>
      </c>
      <c r="F1028" s="183" t="s">
        <v>4886</v>
      </c>
      <c r="G1028" s="183" t="s">
        <v>4887</v>
      </c>
      <c r="H1028" s="184">
        <v>102031020536</v>
      </c>
      <c r="I1028" s="185" t="s">
        <v>4888</v>
      </c>
      <c r="J1028" s="146" t="s">
        <v>4889</v>
      </c>
      <c r="K1028" s="247"/>
      <c r="L1028" s="186">
        <v>44855</v>
      </c>
      <c r="M1028" s="530">
        <v>3600000</v>
      </c>
    </row>
    <row r="1029" spans="1:13" x14ac:dyDescent="0.25">
      <c r="A1029" s="344"/>
      <c r="B1029" s="344" t="s">
        <v>4848</v>
      </c>
      <c r="C1029" s="344">
        <v>911</v>
      </c>
      <c r="D1029" s="344"/>
      <c r="E1029" s="190" t="s">
        <v>4362</v>
      </c>
      <c r="F1029" s="183" t="s">
        <v>4890</v>
      </c>
      <c r="G1029" s="183" t="s">
        <v>4891</v>
      </c>
      <c r="H1029" s="184">
        <v>102072009605</v>
      </c>
      <c r="I1029" s="185" t="s">
        <v>4892</v>
      </c>
      <c r="J1029" s="146" t="s">
        <v>4893</v>
      </c>
      <c r="K1029" s="247"/>
      <c r="L1029" s="186">
        <v>44855</v>
      </c>
      <c r="M1029" s="530">
        <v>1800000</v>
      </c>
    </row>
    <row r="1030" spans="1:13" x14ac:dyDescent="0.25">
      <c r="A1030" s="344"/>
      <c r="B1030" s="344" t="s">
        <v>538</v>
      </c>
      <c r="C1030" s="344">
        <v>912</v>
      </c>
      <c r="D1030" s="344" t="s">
        <v>4894</v>
      </c>
      <c r="E1030" s="190" t="s">
        <v>87</v>
      </c>
      <c r="F1030" s="183" t="s">
        <v>1006</v>
      </c>
      <c r="G1030" s="183" t="s">
        <v>4895</v>
      </c>
      <c r="H1030" s="184">
        <v>101211249706</v>
      </c>
      <c r="I1030" s="185" t="s">
        <v>4896</v>
      </c>
      <c r="J1030" s="146" t="s">
        <v>4897</v>
      </c>
      <c r="K1030" s="247"/>
      <c r="L1030" s="186">
        <v>44859</v>
      </c>
      <c r="M1030" s="530">
        <v>2800000</v>
      </c>
    </row>
    <row r="1031" spans="1:13" x14ac:dyDescent="0.25">
      <c r="A1031" s="344"/>
      <c r="B1031" s="344" t="s">
        <v>4904</v>
      </c>
      <c r="C1031" s="344">
        <v>914</v>
      </c>
      <c r="D1031" s="344"/>
      <c r="E1031" s="190" t="s">
        <v>1536</v>
      </c>
      <c r="F1031" s="183" t="s">
        <v>4905</v>
      </c>
      <c r="G1031" s="183" t="s">
        <v>4213</v>
      </c>
      <c r="H1031" s="184">
        <v>101251148460</v>
      </c>
      <c r="I1031" s="185" t="s">
        <v>3462</v>
      </c>
      <c r="J1031" s="146" t="s">
        <v>4215</v>
      </c>
      <c r="K1031" s="247"/>
      <c r="L1031" s="186">
        <v>44861</v>
      </c>
      <c r="M1031" s="530">
        <v>4400000</v>
      </c>
    </row>
    <row r="1032" spans="1:13" x14ac:dyDescent="0.25">
      <c r="A1032" s="344"/>
      <c r="B1032" s="344" t="s">
        <v>4057</v>
      </c>
      <c r="C1032" s="344">
        <v>915</v>
      </c>
      <c r="D1032" s="344"/>
      <c r="E1032" s="190" t="s">
        <v>192</v>
      </c>
      <c r="F1032" s="183" t="s">
        <v>4906</v>
      </c>
      <c r="G1032" s="183" t="s">
        <v>4907</v>
      </c>
      <c r="H1032" s="184">
        <v>108051010127</v>
      </c>
      <c r="I1032" s="185" t="s">
        <v>4908</v>
      </c>
      <c r="J1032" s="146" t="s">
        <v>4909</v>
      </c>
      <c r="K1032" s="247"/>
      <c r="L1032" s="186">
        <v>44861</v>
      </c>
      <c r="M1032" s="530">
        <v>2200000</v>
      </c>
    </row>
    <row r="1033" spans="1:13" x14ac:dyDescent="0.25">
      <c r="A1033" s="344"/>
      <c r="B1033" s="344" t="s">
        <v>4847</v>
      </c>
      <c r="C1033" s="344">
        <v>916</v>
      </c>
      <c r="D1033" s="344"/>
      <c r="E1033" s="190" t="s">
        <v>4362</v>
      </c>
      <c r="F1033" s="183" t="s">
        <v>4910</v>
      </c>
      <c r="G1033" s="183" t="s">
        <v>4911</v>
      </c>
      <c r="H1033" s="184">
        <v>206051010896</v>
      </c>
      <c r="I1033" s="185" t="s">
        <v>4912</v>
      </c>
      <c r="J1033" s="146" t="s">
        <v>4913</v>
      </c>
      <c r="K1033" s="247"/>
      <c r="L1033" s="186">
        <v>44862</v>
      </c>
      <c r="M1033" s="530">
        <v>1800000</v>
      </c>
    </row>
    <row r="1034" spans="1:13" x14ac:dyDescent="0.25">
      <c r="A1034" s="344"/>
      <c r="B1034" s="344" t="s">
        <v>4836</v>
      </c>
      <c r="C1034" s="344">
        <v>917</v>
      </c>
      <c r="D1034" s="344"/>
      <c r="E1034" s="190" t="s">
        <v>4362</v>
      </c>
      <c r="F1034" s="183" t="s">
        <v>4914</v>
      </c>
      <c r="G1034" s="183" t="s">
        <v>4915</v>
      </c>
      <c r="H1034" s="184">
        <v>208031003725</v>
      </c>
      <c r="I1034" s="185" t="s">
        <v>4916</v>
      </c>
      <c r="J1034" s="146" t="s">
        <v>4917</v>
      </c>
      <c r="K1034" s="247"/>
      <c r="L1034" s="186">
        <v>44863</v>
      </c>
      <c r="M1034" s="530">
        <v>2000000</v>
      </c>
    </row>
    <row r="1035" spans="1:13" x14ac:dyDescent="0.25">
      <c r="A1035" s="344"/>
      <c r="B1035" s="344" t="s">
        <v>2633</v>
      </c>
      <c r="C1035" s="344"/>
      <c r="D1035" s="344" t="s">
        <v>4918</v>
      </c>
      <c r="E1035" s="190" t="s">
        <v>434</v>
      </c>
      <c r="F1035" s="183" t="s">
        <v>3072</v>
      </c>
      <c r="G1035" s="183" t="s">
        <v>4919</v>
      </c>
      <c r="H1035" s="184">
        <v>101251116545</v>
      </c>
      <c r="I1035" s="185" t="s">
        <v>3073</v>
      </c>
      <c r="J1035" s="146" t="s">
        <v>1813</v>
      </c>
      <c r="K1035" s="247"/>
      <c r="L1035" s="186">
        <v>44865</v>
      </c>
      <c r="M1035" s="530">
        <v>4300000</v>
      </c>
    </row>
    <row r="1036" spans="1:13" x14ac:dyDescent="0.25">
      <c r="A1036" s="344"/>
      <c r="B1036" s="344" t="s">
        <v>4838</v>
      </c>
      <c r="C1036" s="344">
        <v>918</v>
      </c>
      <c r="D1036" s="344"/>
      <c r="E1036" s="190" t="s">
        <v>4362</v>
      </c>
      <c r="F1036" s="183" t="s">
        <v>4920</v>
      </c>
      <c r="G1036" s="183"/>
      <c r="H1036" s="184">
        <v>101241086937</v>
      </c>
      <c r="I1036" s="185" t="s">
        <v>4921</v>
      </c>
      <c r="J1036" s="146" t="s">
        <v>4922</v>
      </c>
      <c r="K1036" s="247"/>
      <c r="L1036" s="186">
        <v>44865</v>
      </c>
      <c r="M1036" s="530">
        <v>1800000</v>
      </c>
    </row>
    <row r="1037" spans="1:13" x14ac:dyDescent="0.25">
      <c r="A1037" s="344"/>
      <c r="B1037" s="344" t="s">
        <v>4842</v>
      </c>
      <c r="C1037" s="344">
        <v>919</v>
      </c>
      <c r="D1037" s="344"/>
      <c r="E1037" s="190" t="s">
        <v>4362</v>
      </c>
      <c r="F1037" s="183" t="s">
        <v>3460</v>
      </c>
      <c r="G1037" s="183" t="s">
        <v>4923</v>
      </c>
      <c r="H1037" s="184">
        <v>102271002474</v>
      </c>
      <c r="I1037" s="185" t="s">
        <v>4924</v>
      </c>
      <c r="J1037" s="146" t="s">
        <v>4925</v>
      </c>
      <c r="K1037" s="247"/>
      <c r="L1037" s="186">
        <v>44867</v>
      </c>
      <c r="M1037" s="530">
        <v>1800000</v>
      </c>
    </row>
    <row r="1038" spans="1:13" x14ac:dyDescent="0.25">
      <c r="A1038" s="344"/>
      <c r="B1038" s="344" t="s">
        <v>4677</v>
      </c>
      <c r="C1038" s="344">
        <v>920</v>
      </c>
      <c r="D1038" s="344"/>
      <c r="E1038" s="190" t="s">
        <v>434</v>
      </c>
      <c r="F1038" s="183" t="s">
        <v>57</v>
      </c>
      <c r="G1038" s="183" t="s">
        <v>4926</v>
      </c>
      <c r="H1038" s="184">
        <v>102031037520</v>
      </c>
      <c r="I1038" s="185" t="s">
        <v>4927</v>
      </c>
      <c r="J1038" s="146" t="s">
        <v>4928</v>
      </c>
      <c r="K1038" s="247"/>
      <c r="L1038" s="186">
        <v>44867</v>
      </c>
      <c r="M1038" s="530">
        <v>3800000</v>
      </c>
    </row>
    <row r="1039" spans="1:13" x14ac:dyDescent="0.25">
      <c r="A1039" s="344"/>
      <c r="B1039" s="344" t="s">
        <v>4844</v>
      </c>
      <c r="C1039" s="344">
        <v>921</v>
      </c>
      <c r="D1039" s="344"/>
      <c r="E1039" s="190" t="s">
        <v>4362</v>
      </c>
      <c r="F1039" s="183" t="s">
        <v>63</v>
      </c>
      <c r="G1039" s="183" t="s">
        <v>4929</v>
      </c>
      <c r="H1039" s="184">
        <v>413012019780</v>
      </c>
      <c r="I1039" s="185" t="s">
        <v>4930</v>
      </c>
      <c r="J1039" s="146" t="s">
        <v>4931</v>
      </c>
      <c r="K1039" s="247"/>
      <c r="L1039" s="186">
        <v>44869</v>
      </c>
      <c r="M1039" s="530">
        <v>1750000</v>
      </c>
    </row>
    <row r="1040" spans="1:13" x14ac:dyDescent="0.25">
      <c r="A1040" s="344"/>
      <c r="B1040" s="344" t="s">
        <v>4849</v>
      </c>
      <c r="C1040" s="344">
        <v>922</v>
      </c>
      <c r="D1040" s="344"/>
      <c r="E1040" s="190" t="s">
        <v>4362</v>
      </c>
      <c r="F1040" s="183" t="s">
        <v>2118</v>
      </c>
      <c r="G1040" s="183" t="s">
        <v>4932</v>
      </c>
      <c r="H1040" s="184">
        <v>102371007102</v>
      </c>
      <c r="I1040" s="185" t="s">
        <v>4933</v>
      </c>
      <c r="J1040" s="146" t="s">
        <v>4934</v>
      </c>
      <c r="K1040" s="247"/>
      <c r="L1040" s="186">
        <v>44870</v>
      </c>
      <c r="M1040" s="530">
        <v>1900000</v>
      </c>
    </row>
    <row r="1041" spans="1:13" x14ac:dyDescent="0.25">
      <c r="A1041" s="344"/>
      <c r="B1041" s="344" t="s">
        <v>4935</v>
      </c>
      <c r="C1041" s="344">
        <v>923</v>
      </c>
      <c r="D1041" s="344"/>
      <c r="E1041" s="190" t="s">
        <v>434</v>
      </c>
      <c r="F1041" s="183" t="s">
        <v>4936</v>
      </c>
      <c r="G1041" s="183" t="s">
        <v>4937</v>
      </c>
      <c r="H1041" s="184">
        <v>301031012870</v>
      </c>
      <c r="I1041" s="185" t="s">
        <v>4938</v>
      </c>
      <c r="J1041" s="146" t="s">
        <v>4939</v>
      </c>
      <c r="K1041" s="247"/>
      <c r="L1041" s="186">
        <v>44874</v>
      </c>
      <c r="M1041" s="530">
        <v>3600000</v>
      </c>
    </row>
    <row r="1042" spans="1:13" x14ac:dyDescent="0.25">
      <c r="A1042" s="344"/>
      <c r="B1042" s="344" t="s">
        <v>4940</v>
      </c>
      <c r="C1042" s="344">
        <v>924</v>
      </c>
      <c r="D1042" s="344"/>
      <c r="E1042" s="190" t="s">
        <v>1536</v>
      </c>
      <c r="F1042" s="183" t="s">
        <v>4941</v>
      </c>
      <c r="G1042" s="183" t="s">
        <v>4942</v>
      </c>
      <c r="H1042" s="184">
        <v>171711010216</v>
      </c>
      <c r="I1042" s="185" t="s">
        <v>4943</v>
      </c>
      <c r="J1042" s="146" t="s">
        <v>4944</v>
      </c>
      <c r="K1042" s="247"/>
      <c r="L1042" s="186">
        <v>44876</v>
      </c>
      <c r="M1042" s="530">
        <v>4200000</v>
      </c>
    </row>
    <row r="1043" spans="1:13" x14ac:dyDescent="0.25">
      <c r="A1043" s="344"/>
      <c r="B1043" s="344" t="s">
        <v>2028</v>
      </c>
      <c r="C1043" s="344">
        <v>925</v>
      </c>
      <c r="D1043" s="344"/>
      <c r="E1043" s="190" t="s">
        <v>434</v>
      </c>
      <c r="F1043" s="183" t="s">
        <v>2296</v>
      </c>
      <c r="G1043" s="183" t="s">
        <v>4945</v>
      </c>
      <c r="H1043" s="184">
        <v>102091020266</v>
      </c>
      <c r="I1043" s="185" t="s">
        <v>4946</v>
      </c>
      <c r="J1043" s="146" t="s">
        <v>4947</v>
      </c>
      <c r="K1043" s="247"/>
      <c r="L1043" s="186">
        <v>44877</v>
      </c>
      <c r="M1043" s="530">
        <v>3750000</v>
      </c>
    </row>
    <row r="1044" spans="1:13" x14ac:dyDescent="0.25">
      <c r="A1044" s="344"/>
      <c r="B1044" s="344" t="s">
        <v>4841</v>
      </c>
      <c r="C1044" s="344">
        <v>926</v>
      </c>
      <c r="D1044" s="344"/>
      <c r="E1044" s="190" t="s">
        <v>4362</v>
      </c>
      <c r="F1044" s="183" t="s">
        <v>2249</v>
      </c>
      <c r="G1044" s="183" t="s">
        <v>4948</v>
      </c>
      <c r="H1044" s="184">
        <v>117311010465</v>
      </c>
      <c r="I1044" s="185" t="s">
        <v>4949</v>
      </c>
      <c r="J1044" s="146" t="s">
        <v>4950</v>
      </c>
      <c r="K1044" s="247"/>
      <c r="L1044" s="186">
        <v>44877</v>
      </c>
      <c r="M1044" s="530">
        <v>1500000</v>
      </c>
    </row>
    <row r="1045" spans="1:13" x14ac:dyDescent="0.25">
      <c r="A1045" s="344"/>
      <c r="B1045" s="344" t="s">
        <v>4850</v>
      </c>
      <c r="C1045" s="344">
        <v>927</v>
      </c>
      <c r="D1045" s="344"/>
      <c r="E1045" s="190" t="s">
        <v>4362</v>
      </c>
      <c r="F1045" s="183" t="s">
        <v>4951</v>
      </c>
      <c r="G1045" s="183" t="s">
        <v>4952</v>
      </c>
      <c r="H1045" s="184">
        <v>103051013223</v>
      </c>
      <c r="I1045" s="185" t="s">
        <v>4953</v>
      </c>
      <c r="J1045" s="146" t="s">
        <v>4954</v>
      </c>
      <c r="K1045" s="247"/>
      <c r="L1045" s="186">
        <v>44880</v>
      </c>
      <c r="M1045" s="530">
        <v>1800000</v>
      </c>
    </row>
    <row r="1046" spans="1:13" x14ac:dyDescent="0.25">
      <c r="A1046" s="344"/>
      <c r="B1046" s="344" t="s">
        <v>4955</v>
      </c>
      <c r="C1046" s="344" t="s">
        <v>4956</v>
      </c>
      <c r="D1046" s="344"/>
      <c r="E1046" s="190" t="s">
        <v>434</v>
      </c>
      <c r="F1046" s="183" t="s">
        <v>4545</v>
      </c>
      <c r="G1046" s="183" t="s">
        <v>4546</v>
      </c>
      <c r="H1046" s="184">
        <v>101251163299</v>
      </c>
      <c r="I1046" s="185" t="s">
        <v>4957</v>
      </c>
      <c r="J1046" s="146" t="s">
        <v>4548</v>
      </c>
      <c r="K1046" s="247"/>
      <c r="L1046" s="186">
        <v>44881</v>
      </c>
      <c r="M1046" s="530">
        <v>3400000</v>
      </c>
    </row>
    <row r="1047" spans="1:13" x14ac:dyDescent="0.25">
      <c r="A1047" s="344"/>
      <c r="B1047" s="344" t="s">
        <v>4837</v>
      </c>
      <c r="C1047" s="344">
        <v>928</v>
      </c>
      <c r="D1047" s="344"/>
      <c r="E1047" s="190" t="s">
        <v>4362</v>
      </c>
      <c r="F1047" s="183" t="s">
        <v>4958</v>
      </c>
      <c r="G1047" s="183" t="s">
        <v>4959</v>
      </c>
      <c r="H1047" s="184">
        <v>314012040095</v>
      </c>
      <c r="I1047" s="185" t="s">
        <v>4960</v>
      </c>
      <c r="J1047" s="146" t="s">
        <v>4961</v>
      </c>
      <c r="K1047" s="247"/>
      <c r="L1047" s="186">
        <v>44883</v>
      </c>
      <c r="M1047" s="530">
        <v>1800000</v>
      </c>
    </row>
    <row r="1048" spans="1:13" x14ac:dyDescent="0.25">
      <c r="A1048" s="344"/>
      <c r="B1048" s="344" t="s">
        <v>4981</v>
      </c>
      <c r="C1048" s="344">
        <v>929</v>
      </c>
      <c r="D1048" s="344"/>
      <c r="E1048" s="190" t="s">
        <v>435</v>
      </c>
      <c r="F1048" s="183" t="s">
        <v>4982</v>
      </c>
      <c r="G1048" s="183" t="s">
        <v>4983</v>
      </c>
      <c r="H1048" s="184">
        <v>108991042776</v>
      </c>
      <c r="I1048" s="185" t="s">
        <v>4984</v>
      </c>
      <c r="J1048" s="146" t="s">
        <v>4985</v>
      </c>
      <c r="K1048" s="247"/>
      <c r="L1048" s="186" t="s">
        <v>4986</v>
      </c>
      <c r="M1048" s="530">
        <v>4100000</v>
      </c>
    </row>
    <row r="1049" spans="1:13" x14ac:dyDescent="0.25">
      <c r="A1049" s="344"/>
      <c r="B1049" s="344" t="s">
        <v>4845</v>
      </c>
      <c r="C1049" s="344">
        <v>930</v>
      </c>
      <c r="D1049" s="344"/>
      <c r="E1049" s="190" t="s">
        <v>1433</v>
      </c>
      <c r="F1049" s="183" t="s">
        <v>1006</v>
      </c>
      <c r="G1049" s="183" t="s">
        <v>4987</v>
      </c>
      <c r="H1049" s="184">
        <v>106191002542</v>
      </c>
      <c r="I1049" s="185" t="s">
        <v>4988</v>
      </c>
      <c r="J1049" s="146" t="s">
        <v>4989</v>
      </c>
      <c r="K1049" s="247"/>
      <c r="L1049" s="186">
        <v>44884</v>
      </c>
      <c r="M1049" s="530">
        <v>1800000</v>
      </c>
    </row>
    <row r="1050" spans="1:13" x14ac:dyDescent="0.25">
      <c r="A1050" s="344"/>
      <c r="B1050" s="344" t="s">
        <v>4681</v>
      </c>
      <c r="C1050" s="344">
        <v>931</v>
      </c>
      <c r="D1050" s="344"/>
      <c r="E1050" s="190" t="s">
        <v>435</v>
      </c>
      <c r="F1050" s="183" t="s">
        <v>1734</v>
      </c>
      <c r="G1050" s="183" t="s">
        <v>4990</v>
      </c>
      <c r="H1050" s="184">
        <v>117121015469</v>
      </c>
      <c r="I1050" s="185" t="s">
        <v>4991</v>
      </c>
      <c r="J1050" s="146" t="s">
        <v>4992</v>
      </c>
      <c r="K1050" s="247"/>
      <c r="L1050" s="186">
        <v>44888</v>
      </c>
      <c r="M1050" s="530">
        <v>3550000</v>
      </c>
    </row>
    <row r="1051" spans="1:13" x14ac:dyDescent="0.25">
      <c r="A1051" s="344"/>
      <c r="B1051" s="344" t="s">
        <v>4684</v>
      </c>
      <c r="C1051" s="344">
        <v>933</v>
      </c>
      <c r="D1051" s="344"/>
      <c r="E1051" s="190" t="s">
        <v>435</v>
      </c>
      <c r="F1051" s="183" t="s">
        <v>4993</v>
      </c>
      <c r="G1051" s="183" t="s">
        <v>4994</v>
      </c>
      <c r="H1051" s="184">
        <v>101232147587</v>
      </c>
      <c r="I1051" s="185" t="s">
        <v>4995</v>
      </c>
      <c r="J1051" s="146" t="s">
        <v>4996</v>
      </c>
      <c r="K1051" s="247"/>
      <c r="L1051" s="186">
        <v>44890</v>
      </c>
      <c r="M1051" s="530">
        <v>3600000</v>
      </c>
    </row>
    <row r="1052" spans="1:13" x14ac:dyDescent="0.25">
      <c r="A1052" s="344"/>
      <c r="B1052" s="344" t="s">
        <v>4683</v>
      </c>
      <c r="C1052" s="344">
        <v>934</v>
      </c>
      <c r="D1052" s="344"/>
      <c r="E1052" s="190" t="s">
        <v>434</v>
      </c>
      <c r="F1052" s="183" t="s">
        <v>4997</v>
      </c>
      <c r="G1052" s="183" t="s">
        <v>4998</v>
      </c>
      <c r="H1052" s="184">
        <v>102031008951</v>
      </c>
      <c r="I1052" s="185" t="s">
        <v>4999</v>
      </c>
      <c r="J1052" s="146" t="s">
        <v>5000</v>
      </c>
      <c r="K1052" s="247"/>
      <c r="L1052" s="186">
        <v>44890</v>
      </c>
      <c r="M1052" s="530">
        <v>3550000</v>
      </c>
    </row>
    <row r="1053" spans="1:13" x14ac:dyDescent="0.25">
      <c r="A1053" s="344"/>
      <c r="B1053" s="344" t="s">
        <v>5001</v>
      </c>
      <c r="C1053" s="344">
        <v>935</v>
      </c>
      <c r="D1053" s="344"/>
      <c r="E1053" s="190" t="s">
        <v>5002</v>
      </c>
      <c r="F1053" s="183" t="s">
        <v>5003</v>
      </c>
      <c r="G1053" s="183" t="s">
        <v>5004</v>
      </c>
      <c r="H1053" s="184">
        <v>103051018348</v>
      </c>
      <c r="I1053" s="185" t="s">
        <v>5005</v>
      </c>
      <c r="J1053" s="146" t="s">
        <v>5006</v>
      </c>
      <c r="K1053" s="247"/>
      <c r="L1053" s="186">
        <v>44893</v>
      </c>
      <c r="M1053" s="530">
        <v>3000000</v>
      </c>
    </row>
    <row r="1054" spans="1:13" x14ac:dyDescent="0.25">
      <c r="A1054" s="344"/>
      <c r="B1054" s="344" t="s">
        <v>5007</v>
      </c>
      <c r="C1054" s="344">
        <v>936</v>
      </c>
      <c r="D1054" s="344"/>
      <c r="E1054" s="190" t="s">
        <v>309</v>
      </c>
      <c r="F1054" s="183" t="s">
        <v>5008</v>
      </c>
      <c r="G1054" s="183" t="s">
        <v>4213</v>
      </c>
      <c r="H1054" s="184">
        <v>101251148460</v>
      </c>
      <c r="I1054" s="185" t="s">
        <v>5009</v>
      </c>
      <c r="J1054" s="146" t="s">
        <v>4215</v>
      </c>
      <c r="K1054" s="247"/>
      <c r="L1054" s="186">
        <v>44901</v>
      </c>
      <c r="M1054" s="530">
        <v>4400000</v>
      </c>
    </row>
    <row r="1055" spans="1:13" x14ac:dyDescent="0.25">
      <c r="A1055" s="344"/>
      <c r="B1055" s="344" t="s">
        <v>3542</v>
      </c>
      <c r="C1055" s="344">
        <v>937</v>
      </c>
      <c r="D1055" s="344"/>
      <c r="E1055" s="190" t="s">
        <v>309</v>
      </c>
      <c r="F1055" s="183" t="s">
        <v>2203</v>
      </c>
      <c r="G1055" s="183" t="s">
        <v>5010</v>
      </c>
      <c r="H1055" s="184">
        <v>101231148167</v>
      </c>
      <c r="I1055" s="185" t="s">
        <v>5011</v>
      </c>
      <c r="J1055" s="146" t="s">
        <v>5012</v>
      </c>
      <c r="K1055" s="247"/>
      <c r="L1055" s="186">
        <v>44902</v>
      </c>
      <c r="M1055" s="530">
        <v>3300000</v>
      </c>
    </row>
    <row r="1056" spans="1:13" x14ac:dyDescent="0.25">
      <c r="A1056" s="344"/>
      <c r="B1056" s="344" t="s">
        <v>4967</v>
      </c>
      <c r="C1056" s="344">
        <v>938</v>
      </c>
      <c r="D1056" s="344"/>
      <c r="E1056" s="190" t="s">
        <v>28</v>
      </c>
      <c r="F1056" s="183" t="s">
        <v>484</v>
      </c>
      <c r="G1056" s="183" t="s">
        <v>5013</v>
      </c>
      <c r="H1056" s="184">
        <v>106341010721</v>
      </c>
      <c r="I1056" s="185" t="s">
        <v>5014</v>
      </c>
      <c r="J1056" s="146" t="s">
        <v>5015</v>
      </c>
      <c r="K1056" s="247"/>
      <c r="L1056" s="186">
        <v>44903</v>
      </c>
      <c r="M1056" s="530">
        <v>2700000</v>
      </c>
    </row>
    <row r="1057" spans="1:13" x14ac:dyDescent="0.25">
      <c r="A1057" s="344"/>
      <c r="B1057" s="344" t="s">
        <v>4969</v>
      </c>
      <c r="C1057" s="344">
        <v>939</v>
      </c>
      <c r="D1057" s="344"/>
      <c r="E1057" s="190" t="s">
        <v>28</v>
      </c>
      <c r="F1057" s="183" t="s">
        <v>5016</v>
      </c>
      <c r="G1057" s="183" t="s">
        <v>5017</v>
      </c>
      <c r="H1057" s="184">
        <v>203011024263</v>
      </c>
      <c r="I1057" s="185" t="s">
        <v>5018</v>
      </c>
      <c r="J1057" s="146" t="s">
        <v>1204</v>
      </c>
      <c r="K1057" s="247"/>
      <c r="L1057" s="186">
        <v>44903</v>
      </c>
      <c r="M1057" s="530">
        <v>3200000</v>
      </c>
    </row>
    <row r="1058" spans="1:13" x14ac:dyDescent="0.25">
      <c r="A1058" s="344"/>
      <c r="B1058" s="344" t="s">
        <v>4964</v>
      </c>
      <c r="C1058" s="344">
        <v>940</v>
      </c>
      <c r="D1058" s="344"/>
      <c r="E1058" s="190" t="s">
        <v>28</v>
      </c>
      <c r="F1058" s="183" t="s">
        <v>4612</v>
      </c>
      <c r="G1058" s="183" t="s">
        <v>5019</v>
      </c>
      <c r="H1058" s="184">
        <v>101231101900</v>
      </c>
      <c r="I1058" s="185" t="s">
        <v>5020</v>
      </c>
      <c r="J1058" s="146" t="s">
        <v>5021</v>
      </c>
      <c r="K1058" s="247"/>
      <c r="L1058" s="186">
        <v>44903</v>
      </c>
      <c r="M1058" s="530">
        <v>2450000</v>
      </c>
    </row>
    <row r="1059" spans="1:13" x14ac:dyDescent="0.25">
      <c r="A1059" s="344"/>
      <c r="B1059" s="344" t="s">
        <v>4840</v>
      </c>
      <c r="C1059" s="344">
        <v>941</v>
      </c>
      <c r="D1059" s="344"/>
      <c r="E1059" s="190" t="s">
        <v>4362</v>
      </c>
      <c r="F1059" s="183" t="s">
        <v>1104</v>
      </c>
      <c r="G1059" s="183" t="s">
        <v>5022</v>
      </c>
      <c r="H1059" s="184">
        <v>101251062566</v>
      </c>
      <c r="I1059" s="185" t="s">
        <v>5023</v>
      </c>
      <c r="J1059" s="146" t="s">
        <v>5024</v>
      </c>
      <c r="K1059" s="247"/>
      <c r="L1059" s="186">
        <v>44903</v>
      </c>
      <c r="M1059" s="530">
        <v>1800000</v>
      </c>
    </row>
    <row r="1060" spans="1:13" x14ac:dyDescent="0.25">
      <c r="A1060" s="344"/>
      <c r="B1060" s="344" t="s">
        <v>4040</v>
      </c>
      <c r="C1060" s="344">
        <v>942</v>
      </c>
      <c r="D1060" s="344"/>
      <c r="E1060" s="190" t="s">
        <v>435</v>
      </c>
      <c r="F1060" s="183" t="s">
        <v>1616</v>
      </c>
      <c r="G1060" s="183" t="s">
        <v>5025</v>
      </c>
      <c r="H1060" s="184">
        <v>301091925546</v>
      </c>
      <c r="I1060" s="185" t="s">
        <v>5026</v>
      </c>
      <c r="J1060" s="146" t="s">
        <v>5027</v>
      </c>
      <c r="K1060" s="247"/>
      <c r="L1060" s="186">
        <v>44903</v>
      </c>
      <c r="M1060" s="530">
        <v>3700000</v>
      </c>
    </row>
    <row r="1061" spans="1:13" x14ac:dyDescent="0.25">
      <c r="A1061" s="344"/>
      <c r="B1061" s="344" t="s">
        <v>5028</v>
      </c>
      <c r="C1061" s="344">
        <v>943</v>
      </c>
      <c r="D1061" s="344"/>
      <c r="E1061" s="190" t="s">
        <v>5029</v>
      </c>
      <c r="F1061" s="183" t="s">
        <v>5030</v>
      </c>
      <c r="G1061" s="183" t="s">
        <v>5031</v>
      </c>
      <c r="H1061" s="184">
        <v>313011025233</v>
      </c>
      <c r="I1061" s="185" t="s">
        <v>5032</v>
      </c>
      <c r="J1061" s="146" t="s">
        <v>5033</v>
      </c>
      <c r="K1061" s="247"/>
      <c r="L1061" s="186">
        <v>44905</v>
      </c>
      <c r="M1061" s="530">
        <v>5000000</v>
      </c>
    </row>
    <row r="1062" spans="1:13" x14ac:dyDescent="0.25">
      <c r="A1062" s="344"/>
      <c r="B1062" s="344" t="s">
        <v>4970</v>
      </c>
      <c r="C1062" s="344">
        <v>944</v>
      </c>
      <c r="D1062" s="344"/>
      <c r="E1062" s="190" t="s">
        <v>28</v>
      </c>
      <c r="F1062" s="183" t="s">
        <v>5034</v>
      </c>
      <c r="G1062" s="183" t="s">
        <v>5035</v>
      </c>
      <c r="H1062" s="184">
        <v>102031030315</v>
      </c>
      <c r="I1062" s="185" t="s">
        <v>5036</v>
      </c>
      <c r="J1062" s="146" t="s">
        <v>5037</v>
      </c>
      <c r="K1062" s="247"/>
      <c r="L1062" s="186">
        <v>44909</v>
      </c>
      <c r="M1062" s="530">
        <v>2600000</v>
      </c>
    </row>
    <row r="1063" spans="1:13" x14ac:dyDescent="0.25">
      <c r="A1063" s="344"/>
      <c r="B1063" s="344" t="s">
        <v>4671</v>
      </c>
      <c r="C1063" s="344">
        <v>945</v>
      </c>
      <c r="D1063" s="344"/>
      <c r="E1063" s="190" t="s">
        <v>434</v>
      </c>
      <c r="F1063" s="183" t="s">
        <v>4586</v>
      </c>
      <c r="G1063" s="183" t="s">
        <v>5038</v>
      </c>
      <c r="H1063" s="184">
        <v>102072020847</v>
      </c>
      <c r="I1063" s="185" t="s">
        <v>5039</v>
      </c>
      <c r="J1063" s="146" t="s">
        <v>5040</v>
      </c>
      <c r="K1063" s="247"/>
      <c r="L1063" s="186">
        <v>44910</v>
      </c>
      <c r="M1063" s="530">
        <v>3800000</v>
      </c>
    </row>
    <row r="1064" spans="1:13" x14ac:dyDescent="0.25">
      <c r="A1064" s="344"/>
      <c r="B1064" s="344" t="s">
        <v>5041</v>
      </c>
      <c r="C1064" s="344">
        <v>946</v>
      </c>
      <c r="D1064" s="344"/>
      <c r="E1064" s="190" t="s">
        <v>192</v>
      </c>
      <c r="F1064" s="183" t="s">
        <v>5042</v>
      </c>
      <c r="G1064" s="183" t="s">
        <v>5043</v>
      </c>
      <c r="H1064" s="184">
        <v>313012033120</v>
      </c>
      <c r="I1064" s="185" t="s">
        <v>3076</v>
      </c>
      <c r="J1064" s="146" t="s">
        <v>5044</v>
      </c>
      <c r="K1064" s="247"/>
      <c r="L1064" s="186">
        <v>44911</v>
      </c>
      <c r="M1064" s="530">
        <v>2900000</v>
      </c>
    </row>
    <row r="1065" spans="1:13" x14ac:dyDescent="0.25">
      <c r="A1065" s="344"/>
      <c r="B1065" s="344" t="s">
        <v>4904</v>
      </c>
      <c r="C1065" s="344">
        <v>947</v>
      </c>
      <c r="D1065" s="344"/>
      <c r="E1065" s="190" t="s">
        <v>1536</v>
      </c>
      <c r="F1065" s="183" t="s">
        <v>5045</v>
      </c>
      <c r="G1065" s="183" t="s">
        <v>5046</v>
      </c>
      <c r="H1065" s="184">
        <v>102091039584</v>
      </c>
      <c r="I1065" s="185" t="s">
        <v>5047</v>
      </c>
      <c r="J1065" s="146" t="s">
        <v>5048</v>
      </c>
      <c r="K1065" s="247"/>
      <c r="L1065" s="186">
        <v>44914</v>
      </c>
      <c r="M1065" s="530">
        <v>4200000</v>
      </c>
    </row>
    <row r="1066" spans="1:13" x14ac:dyDescent="0.25">
      <c r="A1066" s="344"/>
      <c r="B1066" s="344" t="s">
        <v>4968</v>
      </c>
      <c r="C1066" s="344">
        <v>950</v>
      </c>
      <c r="D1066" s="344"/>
      <c r="E1066" s="190" t="s">
        <v>28</v>
      </c>
      <c r="F1066" s="183" t="s">
        <v>5049</v>
      </c>
      <c r="G1066" s="183" t="s">
        <v>5050</v>
      </c>
      <c r="H1066" s="184">
        <v>101981092829</v>
      </c>
      <c r="I1066" s="185" t="s">
        <v>5051</v>
      </c>
      <c r="J1066" s="146" t="s">
        <v>5052</v>
      </c>
      <c r="K1066" s="247"/>
      <c r="L1066" s="186">
        <v>44915</v>
      </c>
      <c r="M1066" s="530">
        <v>2650000</v>
      </c>
    </row>
    <row r="1067" spans="1:13" x14ac:dyDescent="0.25">
      <c r="A1067" s="344"/>
      <c r="B1067" s="344" t="s">
        <v>4846</v>
      </c>
      <c r="C1067" s="344">
        <v>951</v>
      </c>
      <c r="D1067" s="344"/>
      <c r="E1067" s="190" t="s">
        <v>1433</v>
      </c>
      <c r="F1067" s="183" t="s">
        <v>5053</v>
      </c>
      <c r="G1067" s="183" t="s">
        <v>5054</v>
      </c>
      <c r="H1067" s="184"/>
      <c r="I1067" s="185" t="s">
        <v>5055</v>
      </c>
      <c r="J1067" s="146" t="s">
        <v>5056</v>
      </c>
      <c r="K1067" s="247"/>
      <c r="L1067" s="186">
        <v>44915</v>
      </c>
      <c r="M1067" s="530">
        <v>1600000</v>
      </c>
    </row>
    <row r="1068" spans="1:13" x14ac:dyDescent="0.25">
      <c r="A1068" s="344"/>
      <c r="B1068" s="344" t="s">
        <v>5057</v>
      </c>
      <c r="C1068" s="344">
        <v>950</v>
      </c>
      <c r="D1068" s="344"/>
      <c r="E1068" s="190" t="s">
        <v>1746</v>
      </c>
      <c r="F1068" s="183" t="s">
        <v>5058</v>
      </c>
      <c r="G1068" s="183" t="s">
        <v>5059</v>
      </c>
      <c r="H1068" s="184">
        <v>101251163356</v>
      </c>
      <c r="I1068" s="185" t="s">
        <v>5060</v>
      </c>
      <c r="J1068" s="146" t="s">
        <v>5061</v>
      </c>
      <c r="K1068" s="247"/>
      <c r="L1068" s="186">
        <v>44915</v>
      </c>
      <c r="M1068" s="530">
        <v>1250000</v>
      </c>
    </row>
    <row r="1069" spans="1:13" x14ac:dyDescent="0.25">
      <c r="A1069" s="344"/>
      <c r="B1069" s="344" t="s">
        <v>4662</v>
      </c>
      <c r="C1069" s="344">
        <v>951</v>
      </c>
      <c r="D1069" s="344"/>
      <c r="E1069" s="190" t="s">
        <v>435</v>
      </c>
      <c r="F1069" s="183" t="s">
        <v>1552</v>
      </c>
      <c r="G1069" s="183" t="s">
        <v>3903</v>
      </c>
      <c r="H1069" s="184">
        <v>101251170349</v>
      </c>
      <c r="I1069" s="185" t="s">
        <v>5062</v>
      </c>
      <c r="J1069" s="146" t="s">
        <v>3905</v>
      </c>
      <c r="K1069" s="247"/>
      <c r="L1069" s="186">
        <v>44921</v>
      </c>
      <c r="M1069" s="530">
        <v>7000000</v>
      </c>
    </row>
    <row r="1070" spans="1:13" x14ac:dyDescent="0.25">
      <c r="A1070" s="344"/>
      <c r="B1070" s="344" t="s">
        <v>4965</v>
      </c>
      <c r="C1070" s="344">
        <v>952</v>
      </c>
      <c r="D1070" s="344"/>
      <c r="E1070" s="190" t="s">
        <v>28</v>
      </c>
      <c r="F1070" s="183" t="s">
        <v>3191</v>
      </c>
      <c r="G1070" s="183" t="s">
        <v>5063</v>
      </c>
      <c r="H1070" s="184">
        <v>101251198211</v>
      </c>
      <c r="I1070" s="185" t="s">
        <v>5064</v>
      </c>
      <c r="J1070" s="146" t="s">
        <v>5065</v>
      </c>
      <c r="K1070" s="247"/>
      <c r="L1070" s="186">
        <v>44922</v>
      </c>
      <c r="M1070" s="530">
        <v>3100000</v>
      </c>
    </row>
    <row r="1071" spans="1:13" x14ac:dyDescent="0.25">
      <c r="A1071" s="344"/>
      <c r="B1071" s="344" t="s">
        <v>1665</v>
      </c>
      <c r="C1071" s="344">
        <v>953</v>
      </c>
      <c r="D1071" s="344"/>
      <c r="E1071" s="190" t="s">
        <v>28</v>
      </c>
      <c r="F1071" s="183" t="s">
        <v>1006</v>
      </c>
      <c r="G1071" s="183" t="s">
        <v>5066</v>
      </c>
      <c r="H1071" s="184">
        <v>117271008733</v>
      </c>
      <c r="I1071" s="185" t="s">
        <v>5067</v>
      </c>
      <c r="J1071" s="146" t="s">
        <v>5068</v>
      </c>
      <c r="K1071" s="247"/>
      <c r="L1071" s="186">
        <v>44923</v>
      </c>
      <c r="M1071" s="530">
        <v>3000000</v>
      </c>
    </row>
    <row r="1072" spans="1:13" x14ac:dyDescent="0.25">
      <c r="A1072" s="344"/>
      <c r="B1072" s="344" t="s">
        <v>5069</v>
      </c>
      <c r="C1072" s="344" t="s">
        <v>5070</v>
      </c>
      <c r="D1072" s="344"/>
      <c r="E1072" s="190" t="s">
        <v>143</v>
      </c>
      <c r="F1072" s="183" t="s">
        <v>5071</v>
      </c>
      <c r="G1072" s="183" t="s">
        <v>5072</v>
      </c>
      <c r="H1072" s="184">
        <v>101982088193</v>
      </c>
      <c r="I1072" s="185" t="s">
        <v>5073</v>
      </c>
      <c r="J1072" s="146" t="s">
        <v>5074</v>
      </c>
      <c r="K1072" s="247"/>
      <c r="L1072" s="186">
        <v>44928</v>
      </c>
      <c r="M1072" s="530">
        <v>2450000</v>
      </c>
    </row>
    <row r="1073" spans="1:13" x14ac:dyDescent="0.25">
      <c r="A1073" s="344"/>
      <c r="B1073" s="344" t="s">
        <v>2633</v>
      </c>
      <c r="C1073" s="344" t="s">
        <v>5075</v>
      </c>
      <c r="D1073" s="344"/>
      <c r="E1073" s="190" t="s">
        <v>435</v>
      </c>
      <c r="F1073" s="183" t="s">
        <v>3371</v>
      </c>
      <c r="G1073" s="183" t="s">
        <v>5076</v>
      </c>
      <c r="H1073" s="184">
        <v>101981114323</v>
      </c>
      <c r="I1073" s="185" t="s">
        <v>5077</v>
      </c>
      <c r="J1073" s="146" t="s">
        <v>5078</v>
      </c>
      <c r="K1073" s="247"/>
      <c r="L1073" s="186">
        <v>44932</v>
      </c>
      <c r="M1073" s="530">
        <v>3900000</v>
      </c>
    </row>
    <row r="1074" spans="1:13" x14ac:dyDescent="0.25">
      <c r="A1074" s="344"/>
      <c r="B1074" s="344" t="s">
        <v>4975</v>
      </c>
      <c r="C1074" s="344" t="s">
        <v>5079</v>
      </c>
      <c r="D1074" s="344"/>
      <c r="E1074" s="190" t="s">
        <v>434</v>
      </c>
      <c r="F1074" s="183" t="s">
        <v>5080</v>
      </c>
      <c r="G1074" s="183" t="s">
        <v>5081</v>
      </c>
      <c r="H1074" s="184">
        <v>101252171081</v>
      </c>
      <c r="I1074" s="185" t="s">
        <v>5082</v>
      </c>
      <c r="J1074" s="146" t="s">
        <v>5083</v>
      </c>
      <c r="K1074" s="247"/>
      <c r="L1074" s="186">
        <v>44932</v>
      </c>
      <c r="M1074" s="530">
        <v>3800000</v>
      </c>
    </row>
    <row r="1075" spans="1:13" x14ac:dyDescent="0.25">
      <c r="A1075" s="344"/>
      <c r="B1075" s="344" t="s">
        <v>4977</v>
      </c>
      <c r="C1075" s="344" t="s">
        <v>5079</v>
      </c>
      <c r="D1075" s="344"/>
      <c r="E1075" s="190" t="s">
        <v>434</v>
      </c>
      <c r="F1075" s="183" t="s">
        <v>5084</v>
      </c>
      <c r="G1075" s="183" t="s">
        <v>5085</v>
      </c>
      <c r="H1075" s="184">
        <v>401031040166</v>
      </c>
      <c r="I1075" s="185" t="s">
        <v>5086</v>
      </c>
      <c r="J1075" s="146" t="s">
        <v>5087</v>
      </c>
      <c r="K1075" s="247"/>
      <c r="L1075" s="186">
        <v>44933</v>
      </c>
      <c r="M1075" s="530">
        <v>3600000</v>
      </c>
    </row>
    <row r="1076" spans="1:13" x14ac:dyDescent="0.25">
      <c r="A1076" s="344"/>
      <c r="B1076" s="344" t="s">
        <v>5102</v>
      </c>
      <c r="C1076" s="344">
        <v>958</v>
      </c>
      <c r="D1076" s="344"/>
      <c r="E1076" s="190" t="s">
        <v>434</v>
      </c>
      <c r="F1076" s="183" t="s">
        <v>5103</v>
      </c>
      <c r="G1076" s="183" t="s">
        <v>5104</v>
      </c>
      <c r="H1076" s="184">
        <v>108051015362</v>
      </c>
      <c r="I1076" s="185" t="s">
        <v>5105</v>
      </c>
      <c r="J1076" s="146" t="s">
        <v>5106</v>
      </c>
      <c r="K1076" s="247"/>
      <c r="L1076" s="186">
        <v>44936</v>
      </c>
      <c r="M1076" s="530">
        <v>4500000</v>
      </c>
    </row>
    <row r="1077" spans="1:13" x14ac:dyDescent="0.25">
      <c r="A1077" s="344"/>
      <c r="B1077" s="344" t="s">
        <v>5107</v>
      </c>
      <c r="C1077" s="344">
        <v>954</v>
      </c>
      <c r="D1077" s="344"/>
      <c r="E1077" s="190" t="s">
        <v>732</v>
      </c>
      <c r="F1077" s="183" t="s">
        <v>3510</v>
      </c>
      <c r="G1077" s="183" t="s">
        <v>5108</v>
      </c>
      <c r="H1077" s="184">
        <v>103131013720</v>
      </c>
      <c r="I1077" s="185" t="s">
        <v>5109</v>
      </c>
      <c r="J1077" s="146" t="s">
        <v>5110</v>
      </c>
      <c r="K1077" s="247"/>
      <c r="L1077" s="186">
        <v>44924</v>
      </c>
      <c r="M1077" s="530">
        <v>2800000</v>
      </c>
    </row>
    <row r="1078" spans="1:13" x14ac:dyDescent="0.25">
      <c r="A1078" s="344"/>
      <c r="B1078" s="344" t="s">
        <v>5111</v>
      </c>
      <c r="C1078" s="344">
        <v>960</v>
      </c>
      <c r="D1078" s="344"/>
      <c r="E1078" s="190" t="s">
        <v>143</v>
      </c>
      <c r="F1078" s="183" t="s">
        <v>78</v>
      </c>
      <c r="G1078" s="183" t="s">
        <v>5112</v>
      </c>
      <c r="H1078" s="184">
        <v>102032029593</v>
      </c>
      <c r="I1078" s="185" t="s">
        <v>5113</v>
      </c>
      <c r="J1078" s="146" t="s">
        <v>5114</v>
      </c>
      <c r="K1078" s="247"/>
      <c r="L1078" s="186">
        <v>44937</v>
      </c>
      <c r="M1078" s="530">
        <v>2600000</v>
      </c>
    </row>
    <row r="1079" spans="1:13" x14ac:dyDescent="0.25">
      <c r="A1079" s="344"/>
      <c r="B1079" s="344" t="s">
        <v>5115</v>
      </c>
      <c r="C1079" s="344">
        <v>961</v>
      </c>
      <c r="D1079" s="344"/>
      <c r="E1079" s="190" t="s">
        <v>143</v>
      </c>
      <c r="F1079" s="183" t="s">
        <v>5116</v>
      </c>
      <c r="G1079" s="183" t="s">
        <v>5117</v>
      </c>
      <c r="H1079" s="184">
        <v>101252059527</v>
      </c>
      <c r="I1079" s="185" t="s">
        <v>5118</v>
      </c>
      <c r="J1079" s="146" t="s">
        <v>5119</v>
      </c>
      <c r="K1079" s="247"/>
      <c r="L1079" s="186">
        <v>44937</v>
      </c>
      <c r="M1079" s="530">
        <v>3100000</v>
      </c>
    </row>
    <row r="1080" spans="1:13" x14ac:dyDescent="0.25">
      <c r="A1080" s="344"/>
      <c r="B1080" s="344" t="s">
        <v>5120</v>
      </c>
      <c r="C1080" s="344">
        <v>962</v>
      </c>
      <c r="D1080" s="344"/>
      <c r="E1080" s="190" t="s">
        <v>435</v>
      </c>
      <c r="F1080" s="183" t="s">
        <v>5121</v>
      </c>
      <c r="G1080" s="183" t="s">
        <v>5122</v>
      </c>
      <c r="H1080" s="184">
        <v>401011060102</v>
      </c>
      <c r="I1080" s="185" t="s">
        <v>5123</v>
      </c>
      <c r="J1080" s="146" t="s">
        <v>5124</v>
      </c>
      <c r="K1080" s="247"/>
      <c r="L1080" s="186">
        <v>44944</v>
      </c>
      <c r="M1080" s="530">
        <v>4000000</v>
      </c>
    </row>
    <row r="1081" spans="1:13" x14ac:dyDescent="0.25">
      <c r="A1081" s="344"/>
      <c r="B1081" s="344" t="s">
        <v>4052</v>
      </c>
      <c r="C1081" s="344">
        <v>963</v>
      </c>
      <c r="D1081" s="344"/>
      <c r="E1081" s="190" t="s">
        <v>224</v>
      </c>
      <c r="F1081" s="183" t="s">
        <v>5125</v>
      </c>
      <c r="G1081" s="183" t="s">
        <v>5126</v>
      </c>
      <c r="H1081" s="184">
        <v>106292000478</v>
      </c>
      <c r="I1081" s="185" t="s">
        <v>5127</v>
      </c>
      <c r="J1081" s="146" t="s">
        <v>5128</v>
      </c>
      <c r="K1081" s="247"/>
      <c r="L1081" s="186">
        <v>44945</v>
      </c>
      <c r="M1081" s="530">
        <v>2100000</v>
      </c>
    </row>
    <row r="1082" spans="1:13" x14ac:dyDescent="0.25">
      <c r="A1082" s="344"/>
      <c r="B1082" s="344" t="s">
        <v>5129</v>
      </c>
      <c r="C1082" s="344">
        <v>964</v>
      </c>
      <c r="D1082" s="344"/>
      <c r="E1082" s="190" t="s">
        <v>143</v>
      </c>
      <c r="F1082" s="183" t="s">
        <v>5130</v>
      </c>
      <c r="G1082" s="183"/>
      <c r="H1082" s="184"/>
      <c r="I1082" s="185" t="s">
        <v>5131</v>
      </c>
      <c r="J1082" s="146"/>
      <c r="K1082" s="247"/>
      <c r="L1082" s="186">
        <v>44945</v>
      </c>
      <c r="M1082" s="530">
        <v>3000000</v>
      </c>
    </row>
    <row r="1083" spans="1:13" x14ac:dyDescent="0.25">
      <c r="A1083" s="344"/>
      <c r="B1083" s="344" t="s">
        <v>5132</v>
      </c>
      <c r="C1083" s="344">
        <v>965</v>
      </c>
      <c r="D1083" s="344"/>
      <c r="E1083" s="190" t="s">
        <v>1034</v>
      </c>
      <c r="F1083" s="183" t="s">
        <v>5133</v>
      </c>
      <c r="G1083" s="183" t="s">
        <v>5134</v>
      </c>
      <c r="H1083" s="184">
        <v>101241193114</v>
      </c>
      <c r="I1083" s="185" t="s">
        <v>5135</v>
      </c>
      <c r="J1083" s="146" t="s">
        <v>5136</v>
      </c>
      <c r="K1083" s="247"/>
      <c r="L1083" s="186">
        <v>44948</v>
      </c>
      <c r="M1083" s="530">
        <v>800000</v>
      </c>
    </row>
    <row r="1084" spans="1:13" x14ac:dyDescent="0.25">
      <c r="A1084" s="344"/>
      <c r="B1084" s="344" t="s">
        <v>5092</v>
      </c>
      <c r="C1084" s="344">
        <v>966</v>
      </c>
      <c r="D1084" s="344"/>
      <c r="E1084" s="190" t="s">
        <v>434</v>
      </c>
      <c r="F1084" s="183" t="s">
        <v>4712</v>
      </c>
      <c r="G1084" s="183" t="s">
        <v>5137</v>
      </c>
      <c r="H1084" s="184">
        <v>117121006788</v>
      </c>
      <c r="I1084" s="185" t="s">
        <v>5138</v>
      </c>
      <c r="J1084" s="146" t="s">
        <v>5139</v>
      </c>
      <c r="K1084" s="247"/>
      <c r="L1084" s="186">
        <v>44949</v>
      </c>
      <c r="M1084" s="530">
        <v>3600000</v>
      </c>
    </row>
    <row r="1085" spans="1:13" x14ac:dyDescent="0.25">
      <c r="A1085" s="344"/>
      <c r="B1085" s="344" t="s">
        <v>5101</v>
      </c>
      <c r="C1085" s="344">
        <v>967</v>
      </c>
      <c r="D1085" s="344"/>
      <c r="E1085" s="190" t="s">
        <v>28</v>
      </c>
      <c r="F1085" s="183" t="s">
        <v>5140</v>
      </c>
      <c r="G1085" s="183" t="s">
        <v>5141</v>
      </c>
      <c r="H1085" s="184">
        <v>103131005447</v>
      </c>
      <c r="I1085" s="185" t="s">
        <v>5142</v>
      </c>
      <c r="J1085" s="146" t="s">
        <v>5143</v>
      </c>
      <c r="K1085" s="247"/>
      <c r="L1085" s="186">
        <v>44950</v>
      </c>
      <c r="M1085" s="530">
        <v>2650000</v>
      </c>
    </row>
    <row r="1086" spans="1:13" x14ac:dyDescent="0.25">
      <c r="A1086" s="344"/>
      <c r="B1086" s="344"/>
      <c r="C1086" s="344"/>
      <c r="D1086" s="344"/>
      <c r="E1086" s="190"/>
      <c r="F1086" s="183"/>
      <c r="G1086" s="183"/>
      <c r="H1086" s="184"/>
      <c r="I1086" s="185"/>
      <c r="J1086" s="146"/>
      <c r="K1086" s="247"/>
      <c r="L1086" s="186"/>
      <c r="M1086" s="530"/>
    </row>
    <row r="1087" spans="1:13" x14ac:dyDescent="0.25">
      <c r="A1087" s="344"/>
      <c r="B1087" s="344"/>
      <c r="C1087" s="344"/>
      <c r="D1087" s="344"/>
      <c r="E1087" s="190"/>
      <c r="F1087" s="183"/>
      <c r="G1087" s="183"/>
      <c r="H1087" s="184"/>
      <c r="I1087" s="185"/>
      <c r="J1087" s="146"/>
      <c r="K1087" s="247"/>
      <c r="L1087" s="186"/>
      <c r="M1087" s="530"/>
    </row>
    <row r="1088" spans="1:13" x14ac:dyDescent="0.25">
      <c r="A1088" s="344"/>
      <c r="B1088" s="344"/>
      <c r="C1088" s="344"/>
      <c r="D1088" s="344"/>
      <c r="E1088" s="190"/>
      <c r="F1088" s="183"/>
      <c r="G1088" s="183"/>
      <c r="H1088" s="184"/>
      <c r="I1088" s="185"/>
      <c r="J1088" s="146"/>
      <c r="K1088" s="247"/>
      <c r="L1088" s="186"/>
      <c r="M1088" s="530"/>
    </row>
    <row r="1089" spans="1:13" x14ac:dyDescent="0.25">
      <c r="A1089" s="344"/>
      <c r="B1089" s="344"/>
      <c r="C1089" s="344"/>
      <c r="D1089" s="344"/>
      <c r="E1089" s="190"/>
      <c r="F1089" s="183"/>
      <c r="G1089" s="183"/>
      <c r="H1089" s="184"/>
      <c r="I1089" s="185"/>
      <c r="J1089" s="146"/>
      <c r="K1089" s="247"/>
      <c r="L1089" s="186"/>
      <c r="M1089" s="530"/>
    </row>
    <row r="1090" spans="1:13" x14ac:dyDescent="0.25">
      <c r="A1090" s="344"/>
      <c r="B1090" s="344"/>
      <c r="C1090" s="344"/>
      <c r="D1090" s="344"/>
      <c r="E1090" s="190"/>
      <c r="F1090" s="183"/>
      <c r="G1090" s="183"/>
      <c r="H1090" s="184"/>
      <c r="I1090" s="185"/>
      <c r="J1090" s="146"/>
      <c r="K1090" s="247"/>
      <c r="L1090" s="186"/>
      <c r="M1090" s="530"/>
    </row>
    <row r="1091" spans="1:13" x14ac:dyDescent="0.25">
      <c r="A1091" s="344"/>
      <c r="B1091" s="344"/>
      <c r="C1091" s="344"/>
      <c r="D1091" s="344"/>
      <c r="E1091" s="190"/>
      <c r="F1091" s="183"/>
      <c r="G1091" s="183"/>
      <c r="H1091" s="184"/>
      <c r="I1091" s="185"/>
      <c r="J1091" s="146"/>
      <c r="K1091" s="247"/>
      <c r="L1091" s="186"/>
      <c r="M1091" s="530"/>
    </row>
    <row r="1092" spans="1:13" x14ac:dyDescent="0.25">
      <c r="A1092" s="344"/>
      <c r="B1092" s="344"/>
      <c r="C1092" s="344"/>
      <c r="D1092" s="344"/>
      <c r="E1092" s="190"/>
      <c r="F1092" s="183"/>
      <c r="G1092" s="183"/>
      <c r="H1092" s="184"/>
      <c r="I1092" s="185"/>
      <c r="J1092" s="146"/>
      <c r="K1092" s="247"/>
      <c r="L1092" s="186"/>
      <c r="M1092" s="530"/>
    </row>
    <row r="1093" spans="1:13" x14ac:dyDescent="0.25">
      <c r="A1093" s="344"/>
      <c r="B1093" s="344"/>
      <c r="C1093" s="344"/>
      <c r="D1093" s="344"/>
      <c r="E1093" s="190"/>
      <c r="F1093" s="183"/>
      <c r="G1093" s="183"/>
      <c r="H1093" s="184"/>
      <c r="I1093" s="185"/>
      <c r="J1093" s="146"/>
      <c r="K1093" s="247"/>
      <c r="L1093" s="186"/>
      <c r="M1093" s="530"/>
    </row>
    <row r="1094" spans="1:13" x14ac:dyDescent="0.25">
      <c r="A1094" s="344"/>
      <c r="B1094" s="344"/>
      <c r="C1094" s="344"/>
      <c r="D1094" s="344"/>
      <c r="E1094" s="190"/>
      <c r="F1094" s="183"/>
      <c r="G1094" s="183"/>
      <c r="H1094" s="184"/>
      <c r="I1094" s="185"/>
      <c r="J1094" s="146"/>
      <c r="K1094" s="247"/>
      <c r="L1094" s="186"/>
      <c r="M1094" s="530"/>
    </row>
    <row r="1095" spans="1:13" x14ac:dyDescent="0.25">
      <c r="A1095" s="344"/>
      <c r="B1095" s="344"/>
      <c r="C1095" s="344"/>
      <c r="D1095" s="344"/>
      <c r="E1095" s="190"/>
      <c r="F1095" s="183"/>
      <c r="G1095" s="183"/>
      <c r="H1095" s="184"/>
      <c r="I1095" s="185"/>
      <c r="J1095" s="146"/>
      <c r="K1095" s="247"/>
      <c r="L1095" s="186"/>
      <c r="M1095" s="530"/>
    </row>
    <row r="1096" spans="1:13" x14ac:dyDescent="0.25">
      <c r="A1096" s="344"/>
      <c r="B1096" s="344"/>
      <c r="C1096" s="344"/>
      <c r="D1096" s="344"/>
      <c r="E1096" s="190"/>
      <c r="F1096" s="183"/>
      <c r="G1096" s="183"/>
      <c r="H1096" s="184"/>
      <c r="I1096" s="185"/>
      <c r="J1096" s="146"/>
      <c r="K1096" s="247"/>
      <c r="L1096" s="186"/>
      <c r="M1096" s="530"/>
    </row>
    <row r="1097" spans="1:13" x14ac:dyDescent="0.25">
      <c r="A1097" s="344"/>
      <c r="B1097" s="344"/>
      <c r="C1097" s="344"/>
      <c r="D1097" s="344"/>
      <c r="E1097" s="190"/>
      <c r="F1097" s="183"/>
      <c r="G1097" s="183"/>
      <c r="H1097" s="184"/>
      <c r="I1097" s="185"/>
      <c r="J1097" s="146"/>
      <c r="K1097" s="247"/>
      <c r="L1097" s="186"/>
      <c r="M1097" s="530"/>
    </row>
    <row r="1098" spans="1:13" x14ac:dyDescent="0.25">
      <c r="A1098" s="344"/>
      <c r="B1098" s="344"/>
      <c r="C1098" s="344"/>
      <c r="D1098" s="344"/>
      <c r="E1098" s="190"/>
      <c r="F1098" s="183"/>
      <c r="G1098" s="183"/>
      <c r="H1098" s="184"/>
      <c r="I1098" s="185"/>
      <c r="J1098" s="146"/>
      <c r="K1098" s="247"/>
      <c r="L1098" s="186"/>
      <c r="M1098" s="530"/>
    </row>
    <row r="1099" spans="1:13" x14ac:dyDescent="0.25">
      <c r="A1099" s="344"/>
      <c r="B1099" s="344"/>
      <c r="C1099" s="344"/>
      <c r="D1099" s="344"/>
      <c r="E1099" s="190"/>
      <c r="F1099" s="183"/>
      <c r="G1099" s="183"/>
      <c r="H1099" s="184"/>
      <c r="I1099" s="185"/>
      <c r="J1099" s="146"/>
      <c r="K1099" s="247"/>
      <c r="L1099" s="186"/>
      <c r="M1099" s="530"/>
    </row>
    <row r="1100" spans="1:13" x14ac:dyDescent="0.25">
      <c r="A1100" s="344"/>
      <c r="B1100" s="344"/>
      <c r="C1100" s="344"/>
      <c r="D1100" s="344"/>
      <c r="E1100" s="190"/>
      <c r="F1100" s="183"/>
      <c r="G1100" s="183"/>
      <c r="H1100" s="184"/>
      <c r="I1100" s="185"/>
      <c r="J1100" s="146"/>
      <c r="K1100" s="247"/>
      <c r="L1100" s="186"/>
      <c r="M1100" s="530"/>
    </row>
    <row r="1101" spans="1:13" x14ac:dyDescent="0.25">
      <c r="A1101" s="344"/>
      <c r="B1101" s="344"/>
      <c r="C1101" s="344"/>
      <c r="D1101" s="344"/>
      <c r="E1101" s="190"/>
      <c r="F1101" s="183"/>
      <c r="G1101" s="183"/>
      <c r="H1101" s="184"/>
      <c r="I1101" s="185"/>
      <c r="J1101" s="146"/>
      <c r="K1101" s="247"/>
      <c r="L1101" s="186"/>
      <c r="M1101" s="530"/>
    </row>
    <row r="1102" spans="1:13" x14ac:dyDescent="0.25">
      <c r="A1102" s="344"/>
      <c r="B1102" s="344"/>
      <c r="C1102" s="344"/>
      <c r="D1102" s="344"/>
      <c r="E1102" s="190"/>
      <c r="F1102" s="183"/>
      <c r="G1102" s="183"/>
      <c r="H1102" s="184"/>
      <c r="I1102" s="185"/>
      <c r="J1102" s="146"/>
      <c r="K1102" s="247"/>
      <c r="L1102" s="186"/>
      <c r="M1102" s="530"/>
    </row>
    <row r="1103" spans="1:13" x14ac:dyDescent="0.25">
      <c r="A1103" s="344"/>
      <c r="B1103" s="344"/>
      <c r="C1103" s="344"/>
      <c r="D1103" s="344"/>
      <c r="E1103" s="190"/>
      <c r="F1103" s="183"/>
      <c r="G1103" s="183"/>
      <c r="H1103" s="184"/>
      <c r="I1103" s="185"/>
      <c r="J1103" s="146"/>
      <c r="K1103" s="247"/>
      <c r="L1103" s="186"/>
      <c r="M1103" s="530"/>
    </row>
    <row r="1104" spans="1:13" x14ac:dyDescent="0.25">
      <c r="A1104" s="344"/>
      <c r="B1104" s="344"/>
      <c r="C1104" s="344"/>
      <c r="D1104" s="344"/>
      <c r="E1104" s="190"/>
      <c r="F1104" s="183"/>
      <c r="G1104" s="183"/>
      <c r="H1104" s="184"/>
      <c r="I1104" s="185"/>
      <c r="J1104" s="146"/>
      <c r="K1104" s="247"/>
      <c r="L1104" s="186"/>
      <c r="M1104" s="530"/>
    </row>
    <row r="1105" spans="1:13" x14ac:dyDescent="0.25">
      <c r="A1105" s="344"/>
      <c r="B1105" s="344"/>
      <c r="C1105" s="344"/>
      <c r="D1105" s="344"/>
      <c r="E1105" s="190"/>
      <c r="F1105" s="183"/>
      <c r="G1105" s="183"/>
      <c r="H1105" s="184"/>
      <c r="I1105" s="185"/>
      <c r="J1105" s="146"/>
      <c r="K1105" s="247"/>
      <c r="L1105" s="186"/>
      <c r="M1105" s="530"/>
    </row>
    <row r="1106" spans="1:13" x14ac:dyDescent="0.25">
      <c r="A1106" s="344"/>
      <c r="B1106" s="344"/>
      <c r="C1106" s="344"/>
      <c r="D1106" s="344"/>
      <c r="E1106" s="190"/>
      <c r="F1106" s="183"/>
      <c r="G1106" s="183"/>
      <c r="H1106" s="184"/>
      <c r="I1106" s="185"/>
      <c r="J1106" s="146"/>
      <c r="K1106" s="247"/>
      <c r="L1106" s="186"/>
      <c r="M1106" s="530"/>
    </row>
    <row r="1107" spans="1:13" x14ac:dyDescent="0.25">
      <c r="A1107" s="344"/>
      <c r="B1107" s="344"/>
      <c r="C1107" s="344"/>
      <c r="D1107" s="344"/>
      <c r="E1107" s="190"/>
      <c r="F1107" s="183"/>
      <c r="G1107" s="183"/>
      <c r="H1107" s="184"/>
      <c r="I1107" s="185"/>
      <c r="J1107" s="146"/>
      <c r="K1107" s="247"/>
      <c r="L1107" s="186"/>
      <c r="M1107" s="530"/>
    </row>
    <row r="1108" spans="1:13" x14ac:dyDescent="0.25">
      <c r="A1108" s="344"/>
      <c r="B1108" s="344"/>
      <c r="C1108" s="344"/>
      <c r="D1108" s="344"/>
      <c r="E1108" s="190"/>
      <c r="F1108" s="183"/>
      <c r="G1108" s="183"/>
      <c r="H1108" s="184"/>
      <c r="I1108" s="185"/>
      <c r="J1108" s="146"/>
      <c r="K1108" s="247"/>
      <c r="L1108" s="186"/>
      <c r="M1108" s="530"/>
    </row>
    <row r="1109" spans="1:13" x14ac:dyDescent="0.25">
      <c r="A1109" s="344"/>
      <c r="B1109" s="344"/>
      <c r="C1109" s="344"/>
      <c r="D1109" s="344"/>
      <c r="E1109" s="190"/>
      <c r="F1109" s="183"/>
      <c r="G1109" s="183"/>
      <c r="H1109" s="184"/>
      <c r="I1109" s="185"/>
      <c r="J1109" s="146"/>
      <c r="K1109" s="247"/>
      <c r="L1109" s="186"/>
      <c r="M1109" s="530"/>
    </row>
    <row r="1110" spans="1:13" x14ac:dyDescent="0.25">
      <c r="A1110" s="344"/>
      <c r="B1110" s="344"/>
      <c r="C1110" s="344"/>
      <c r="D1110" s="344"/>
      <c r="E1110" s="190"/>
      <c r="F1110" s="183"/>
      <c r="G1110" s="183"/>
      <c r="H1110" s="184"/>
      <c r="I1110" s="185"/>
      <c r="J1110" s="146"/>
      <c r="K1110" s="247"/>
      <c r="L1110" s="186"/>
      <c r="M1110" s="530"/>
    </row>
  </sheetData>
  <autoFilter ref="A5:W697">
    <filterColumn colId="4">
      <filters>
        <filter val="YAMAHA JOG"/>
        <filter val="YAMAHA JOG 4"/>
        <filter val="YAMAHA Jog Pro"/>
        <filter val="YAMAHA JOG ZR"/>
      </filters>
    </filterColumn>
  </autoFilter>
  <mergeCells count="4">
    <mergeCell ref="A4:B4"/>
    <mergeCell ref="C4:D4"/>
    <mergeCell ref="I2:L3"/>
    <mergeCell ref="K243:K244"/>
  </mergeCells>
  <phoneticPr fontId="3" type="noConversion"/>
  <pageMargins left="0.7" right="0.7" top="0.75" bottom="0.75" header="0.3" footer="0.3"/>
  <pageSetup paperSize="9" orientation="portrait" r:id="rId1"/>
  <ignoredErrors>
    <ignoredError sqref="H375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7"/>
  <sheetViews>
    <sheetView tabSelected="1" workbookViewId="0">
      <selection activeCell="E57" sqref="E57"/>
    </sheetView>
  </sheetViews>
  <sheetFormatPr baseColWidth="10" defaultRowHeight="15" x14ac:dyDescent="0.25"/>
  <cols>
    <col min="1" max="1" width="11.5703125" style="13" customWidth="1"/>
    <col min="2" max="2" width="30.5703125" style="13" customWidth="1"/>
    <col min="3" max="4" width="18" style="173" customWidth="1"/>
    <col min="5" max="7" width="18.7109375" customWidth="1"/>
    <col min="8" max="8" width="18.28515625" customWidth="1"/>
  </cols>
  <sheetData>
    <row r="2" spans="1:9" x14ac:dyDescent="0.25">
      <c r="A2" s="234"/>
      <c r="B2" s="65" t="s">
        <v>169</v>
      </c>
      <c r="C2" s="58" t="s">
        <v>31</v>
      </c>
      <c r="D2" s="58" t="s">
        <v>5144</v>
      </c>
      <c r="E2" s="65" t="s">
        <v>5145</v>
      </c>
      <c r="F2" s="62"/>
      <c r="G2" s="62"/>
      <c r="H2" s="62" t="s">
        <v>5156</v>
      </c>
      <c r="I2" s="62"/>
    </row>
    <row r="3" spans="1:9" ht="15.75" x14ac:dyDescent="0.25">
      <c r="A3" s="234"/>
      <c r="B3" s="779" t="s">
        <v>5146</v>
      </c>
      <c r="C3" s="276">
        <v>45114</v>
      </c>
      <c r="D3" s="211"/>
      <c r="E3" s="757">
        <v>2900000</v>
      </c>
      <c r="F3" s="62"/>
      <c r="G3" s="62"/>
      <c r="H3" s="62"/>
      <c r="I3" s="62"/>
    </row>
    <row r="4" spans="1:9" ht="15.75" x14ac:dyDescent="0.25">
      <c r="A4" s="234">
        <v>1</v>
      </c>
      <c r="B4" s="779" t="s">
        <v>5164</v>
      </c>
      <c r="C4" s="276">
        <v>45114</v>
      </c>
      <c r="D4" s="786">
        <v>2100000</v>
      </c>
      <c r="E4" s="380"/>
      <c r="F4" s="62"/>
      <c r="G4" s="62"/>
      <c r="H4" s="108"/>
      <c r="I4" s="62"/>
    </row>
    <row r="5" spans="1:9" ht="15.75" x14ac:dyDescent="0.25">
      <c r="A5" s="234"/>
      <c r="B5" s="779" t="s">
        <v>5163</v>
      </c>
      <c r="C5" s="444">
        <v>45121</v>
      </c>
      <c r="D5" s="760"/>
      <c r="E5" s="787">
        <v>2500000</v>
      </c>
      <c r="F5" s="108"/>
      <c r="G5" s="108"/>
      <c r="H5" s="108"/>
      <c r="I5" s="62"/>
    </row>
    <row r="6" spans="1:9" ht="15.75" x14ac:dyDescent="0.25">
      <c r="A6" s="234">
        <v>2</v>
      </c>
      <c r="B6" s="778" t="s">
        <v>5149</v>
      </c>
      <c r="C6" s="276">
        <v>45132</v>
      </c>
      <c r="D6" s="772">
        <v>3300000</v>
      </c>
      <c r="E6" s="380"/>
      <c r="F6" s="62"/>
      <c r="G6" s="62"/>
      <c r="H6" s="770" t="s">
        <v>5158</v>
      </c>
      <c r="I6" s="62"/>
    </row>
    <row r="7" spans="1:9" ht="15.75" x14ac:dyDescent="0.25">
      <c r="A7" s="234"/>
      <c r="B7" s="778" t="s">
        <v>5146</v>
      </c>
      <c r="C7" s="276">
        <v>45131</v>
      </c>
      <c r="D7" s="211"/>
      <c r="E7" s="768">
        <v>7000000</v>
      </c>
      <c r="F7" s="407"/>
      <c r="G7" s="407"/>
      <c r="H7" s="62"/>
      <c r="I7" s="62"/>
    </row>
    <row r="8" spans="1:9" s="28" customFormat="1" ht="15.75" x14ac:dyDescent="0.25">
      <c r="A8" s="795">
        <v>3</v>
      </c>
      <c r="B8" s="777" t="s">
        <v>5150</v>
      </c>
      <c r="C8" s="766">
        <v>45138</v>
      </c>
      <c r="D8" s="774">
        <v>2050000</v>
      </c>
      <c r="E8" s="759"/>
      <c r="F8" s="408"/>
      <c r="G8" s="408"/>
      <c r="H8" s="409"/>
      <c r="I8" s="410"/>
    </row>
    <row r="9" spans="1:9" ht="15.75" x14ac:dyDescent="0.25">
      <c r="A9" s="794">
        <v>4</v>
      </c>
      <c r="B9" s="778" t="s">
        <v>5151</v>
      </c>
      <c r="C9" s="765">
        <v>45138</v>
      </c>
      <c r="D9" s="775">
        <v>2050000</v>
      </c>
      <c r="E9" s="758"/>
      <c r="F9" s="414"/>
      <c r="G9" s="415"/>
      <c r="H9" s="413"/>
      <c r="I9" s="62"/>
    </row>
    <row r="10" spans="1:9" ht="15.75" x14ac:dyDescent="0.25">
      <c r="A10" s="794">
        <v>5</v>
      </c>
      <c r="B10" s="777" t="s">
        <v>5152</v>
      </c>
      <c r="C10" s="765">
        <v>45138</v>
      </c>
      <c r="D10" s="785">
        <v>2100000</v>
      </c>
      <c r="E10" s="758"/>
      <c r="F10" s="414"/>
      <c r="G10" s="415"/>
      <c r="H10" s="413"/>
      <c r="I10" s="62"/>
    </row>
    <row r="11" spans="1:9" ht="15.75" x14ac:dyDescent="0.25">
      <c r="A11" s="416"/>
      <c r="B11" s="778" t="s">
        <v>5153</v>
      </c>
      <c r="C11" s="765">
        <v>45138</v>
      </c>
      <c r="D11" s="758">
        <v>120000</v>
      </c>
      <c r="E11" s="758"/>
      <c r="F11" s="414"/>
      <c r="G11" s="415"/>
      <c r="H11" s="413"/>
      <c r="I11" s="62"/>
    </row>
    <row r="12" spans="1:9" ht="15.75" x14ac:dyDescent="0.25">
      <c r="A12" s="416"/>
      <c r="B12" s="779" t="s">
        <v>5154</v>
      </c>
      <c r="C12" s="765">
        <v>45138</v>
      </c>
      <c r="D12" s="211"/>
      <c r="E12" s="775">
        <v>2300000</v>
      </c>
      <c r="F12" s="414"/>
      <c r="G12" s="415"/>
      <c r="H12" s="413"/>
      <c r="I12" s="62"/>
    </row>
    <row r="13" spans="1:9" ht="15.75" x14ac:dyDescent="0.25">
      <c r="A13" s="795">
        <v>6</v>
      </c>
      <c r="B13" s="780" t="s">
        <v>5152</v>
      </c>
      <c r="C13" s="765">
        <v>45156</v>
      </c>
      <c r="D13" s="776">
        <v>2120000</v>
      </c>
      <c r="E13" s="764"/>
      <c r="F13" s="414"/>
      <c r="G13" s="415"/>
      <c r="H13" s="413"/>
      <c r="I13" s="62"/>
    </row>
    <row r="14" spans="1:9" ht="15.75" x14ac:dyDescent="0.25">
      <c r="A14" s="416"/>
      <c r="B14" s="781" t="s">
        <v>5157</v>
      </c>
      <c r="C14" s="765">
        <v>45160</v>
      </c>
      <c r="D14" s="211"/>
      <c r="E14" s="773">
        <v>2250000</v>
      </c>
      <c r="F14" s="414"/>
      <c r="G14" s="415"/>
      <c r="H14" s="413"/>
      <c r="I14" s="62"/>
    </row>
    <row r="15" spans="1:9" ht="15.75" x14ac:dyDescent="0.25">
      <c r="A15" s="416"/>
      <c r="B15" s="782" t="s">
        <v>5159</v>
      </c>
      <c r="C15" s="765">
        <v>45171</v>
      </c>
      <c r="D15" s="769">
        <v>3000000</v>
      </c>
      <c r="E15" s="758"/>
      <c r="F15" s="414"/>
      <c r="G15" s="415"/>
      <c r="H15" s="413"/>
      <c r="I15" s="62"/>
    </row>
    <row r="16" spans="1:9" ht="15.75" x14ac:dyDescent="0.25">
      <c r="A16" s="416"/>
      <c r="B16" s="782" t="s">
        <v>5148</v>
      </c>
      <c r="C16" s="765">
        <v>45171</v>
      </c>
      <c r="D16" s="211"/>
      <c r="E16" s="776">
        <v>2400000</v>
      </c>
      <c r="F16" s="414"/>
      <c r="G16" s="415"/>
      <c r="H16" s="414"/>
      <c r="I16" s="62"/>
    </row>
    <row r="17" spans="1:9" ht="15.75" x14ac:dyDescent="0.25">
      <c r="A17" s="234"/>
      <c r="B17" s="779" t="s">
        <v>5160</v>
      </c>
      <c r="C17" s="276">
        <v>45173</v>
      </c>
      <c r="D17" s="58"/>
      <c r="E17" s="771">
        <v>3600000</v>
      </c>
      <c r="F17" s="417"/>
      <c r="G17" s="62"/>
    </row>
    <row r="18" spans="1:9" ht="15.75" x14ac:dyDescent="0.25">
      <c r="A18" s="234"/>
      <c r="B18" s="761" t="s">
        <v>5148</v>
      </c>
      <c r="C18" s="276">
        <v>45178</v>
      </c>
      <c r="D18" s="211"/>
      <c r="E18" s="785">
        <v>2400000</v>
      </c>
      <c r="F18" s="62"/>
      <c r="G18" s="62"/>
      <c r="H18" s="62"/>
      <c r="I18" s="62"/>
    </row>
    <row r="19" spans="1:9" ht="15.75" x14ac:dyDescent="0.25">
      <c r="A19" s="234">
        <v>7</v>
      </c>
      <c r="B19" s="761" t="s">
        <v>5151</v>
      </c>
      <c r="C19" s="276">
        <v>45188</v>
      </c>
      <c r="D19" s="789">
        <v>1900000</v>
      </c>
      <c r="E19" s="380"/>
      <c r="F19" s="62"/>
      <c r="G19" s="62"/>
      <c r="H19" s="62"/>
      <c r="I19" s="62"/>
    </row>
    <row r="20" spans="1:9" ht="15.75" x14ac:dyDescent="0.25">
      <c r="A20" s="13">
        <v>8</v>
      </c>
      <c r="B20" s="761" t="s">
        <v>5151</v>
      </c>
      <c r="C20" s="276">
        <v>45188</v>
      </c>
      <c r="D20" s="791">
        <v>1900000</v>
      </c>
      <c r="E20" s="783"/>
      <c r="F20" s="127"/>
      <c r="H20" s="345"/>
    </row>
    <row r="21" spans="1:9" ht="15.75" x14ac:dyDescent="0.25">
      <c r="A21" s="13">
        <v>9</v>
      </c>
      <c r="B21" s="780" t="s">
        <v>5152</v>
      </c>
      <c r="C21" s="276">
        <v>45188</v>
      </c>
      <c r="D21" s="788">
        <v>2150000</v>
      </c>
      <c r="E21" s="784"/>
      <c r="H21" s="345"/>
    </row>
    <row r="22" spans="1:9" ht="15.75" x14ac:dyDescent="0.25">
      <c r="A22" s="13">
        <v>10</v>
      </c>
      <c r="B22" s="762" t="s">
        <v>5161</v>
      </c>
      <c r="C22" s="276">
        <v>45188</v>
      </c>
      <c r="D22" s="788">
        <v>2400000</v>
      </c>
      <c r="E22" s="24"/>
    </row>
    <row r="23" spans="1:9" ht="15.75" x14ac:dyDescent="0.25">
      <c r="B23" s="782" t="s">
        <v>5154</v>
      </c>
      <c r="C23" s="276">
        <v>45188</v>
      </c>
      <c r="D23" s="344"/>
      <c r="E23" s="790">
        <v>2100000</v>
      </c>
    </row>
    <row r="24" spans="1:9" x14ac:dyDescent="0.25">
      <c r="B24" s="202" t="s">
        <v>5153</v>
      </c>
      <c r="C24" s="186">
        <v>45188</v>
      </c>
      <c r="D24" s="788">
        <v>30000</v>
      </c>
      <c r="E24" s="2"/>
    </row>
    <row r="25" spans="1:9" x14ac:dyDescent="0.25">
      <c r="B25" s="202" t="s">
        <v>5154</v>
      </c>
      <c r="C25" s="186">
        <v>45204</v>
      </c>
      <c r="D25" s="344"/>
      <c r="E25" s="792">
        <v>2200000</v>
      </c>
    </row>
    <row r="26" spans="1:9" ht="15.75" x14ac:dyDescent="0.25">
      <c r="A26" s="13">
        <v>11</v>
      </c>
      <c r="B26" s="762" t="s">
        <v>5147</v>
      </c>
      <c r="C26" s="186">
        <v>45211</v>
      </c>
      <c r="D26" s="788">
        <v>2100000</v>
      </c>
      <c r="E26" s="2"/>
    </row>
    <row r="27" spans="1:9" ht="15.75" x14ac:dyDescent="0.25">
      <c r="B27" s="762" t="s">
        <v>5174</v>
      </c>
      <c r="C27" s="186">
        <v>45215</v>
      </c>
      <c r="D27" s="788">
        <v>30000</v>
      </c>
      <c r="E27" s="2"/>
    </row>
    <row r="28" spans="1:9" ht="15.75" x14ac:dyDescent="0.25">
      <c r="B28" s="762"/>
      <c r="C28" s="344"/>
      <c r="D28" s="344"/>
      <c r="E28" s="2"/>
    </row>
    <row r="29" spans="1:9" x14ac:dyDescent="0.25">
      <c r="B29" s="158"/>
      <c r="C29" s="344"/>
      <c r="D29" s="344"/>
      <c r="E29" s="2"/>
    </row>
    <row r="30" spans="1:9" x14ac:dyDescent="0.25">
      <c r="B30" s="158"/>
      <c r="C30" s="344"/>
      <c r="D30" s="344"/>
      <c r="E30" s="2"/>
    </row>
    <row r="34" spans="1:7" ht="15.75" x14ac:dyDescent="0.25">
      <c r="B34" s="763" t="s">
        <v>37</v>
      </c>
      <c r="D34" s="767">
        <f>D4+D6+D8+D9+D10+D11+D13+D15+D19+D20+D21+D22+D24+D27+D26</f>
        <v>27350000</v>
      </c>
      <c r="E34" s="18">
        <f>E3+E5+E7+E12+E14+E16+E17+E18+E23+E25</f>
        <v>29650000</v>
      </c>
    </row>
    <row r="35" spans="1:7" ht="15.75" x14ac:dyDescent="0.25">
      <c r="B35" s="763" t="s">
        <v>5155</v>
      </c>
      <c r="E35" s="18">
        <f>E34-D34</f>
        <v>2300000</v>
      </c>
    </row>
    <row r="45" spans="1:7" x14ac:dyDescent="0.25">
      <c r="A45" s="13" t="s">
        <v>0</v>
      </c>
      <c r="B45" s="793" t="s">
        <v>169</v>
      </c>
      <c r="C45" s="793" t="s">
        <v>3441</v>
      </c>
      <c r="D45" s="793" t="s">
        <v>5162</v>
      </c>
      <c r="E45" s="793" t="s">
        <v>136</v>
      </c>
      <c r="F45" s="793" t="s">
        <v>4</v>
      </c>
      <c r="G45" s="245" t="s">
        <v>5</v>
      </c>
    </row>
    <row r="46" spans="1:7" x14ac:dyDescent="0.25">
      <c r="A46" s="13">
        <v>1</v>
      </c>
      <c r="B46" s="344" t="s">
        <v>5165</v>
      </c>
      <c r="C46" s="186">
        <v>45114</v>
      </c>
      <c r="D46" s="186">
        <v>45121</v>
      </c>
      <c r="E46" s="788">
        <v>2100000</v>
      </c>
      <c r="F46" s="788">
        <v>2500000</v>
      </c>
      <c r="G46" s="6">
        <f t="shared" ref="G46:G53" si="0">F46-E46</f>
        <v>400000</v>
      </c>
    </row>
    <row r="47" spans="1:7" x14ac:dyDescent="0.25">
      <c r="A47" s="13">
        <v>2</v>
      </c>
      <c r="B47" s="344" t="s">
        <v>5166</v>
      </c>
      <c r="C47" s="276">
        <v>45132</v>
      </c>
      <c r="D47" s="276">
        <v>45173</v>
      </c>
      <c r="E47" s="788">
        <v>3300000</v>
      </c>
      <c r="F47" s="788">
        <v>3600000</v>
      </c>
      <c r="G47" s="6">
        <f t="shared" si="0"/>
        <v>300000</v>
      </c>
    </row>
    <row r="48" spans="1:7" x14ac:dyDescent="0.25">
      <c r="A48" s="13">
        <v>3</v>
      </c>
      <c r="B48" s="344" t="s">
        <v>5167</v>
      </c>
      <c r="C48" s="766">
        <v>45138</v>
      </c>
      <c r="D48" s="765">
        <v>45160</v>
      </c>
      <c r="E48" s="788">
        <v>2090000</v>
      </c>
      <c r="F48" s="788">
        <v>2250000</v>
      </c>
      <c r="G48" s="6">
        <f t="shared" si="0"/>
        <v>160000</v>
      </c>
    </row>
    <row r="49" spans="1:7" x14ac:dyDescent="0.25">
      <c r="A49" s="13">
        <v>4</v>
      </c>
      <c r="B49" s="344" t="s">
        <v>5168</v>
      </c>
      <c r="C49" s="765">
        <v>45138</v>
      </c>
      <c r="D49" s="765">
        <v>45138</v>
      </c>
      <c r="E49" s="788">
        <v>2090000</v>
      </c>
      <c r="F49" s="788">
        <v>2300000</v>
      </c>
      <c r="G49" s="6">
        <f t="shared" si="0"/>
        <v>210000</v>
      </c>
    </row>
    <row r="50" spans="1:7" x14ac:dyDescent="0.25">
      <c r="A50" s="13">
        <v>5</v>
      </c>
      <c r="B50" s="344" t="s">
        <v>5170</v>
      </c>
      <c r="C50" s="765">
        <v>45138</v>
      </c>
      <c r="D50" s="765">
        <v>45178</v>
      </c>
      <c r="E50" s="788">
        <v>2140000</v>
      </c>
      <c r="F50" s="788">
        <v>2400000</v>
      </c>
      <c r="G50" s="6">
        <f t="shared" si="0"/>
        <v>260000</v>
      </c>
    </row>
    <row r="51" spans="1:7" x14ac:dyDescent="0.25">
      <c r="A51" s="13">
        <v>6</v>
      </c>
      <c r="B51" s="344" t="s">
        <v>5171</v>
      </c>
      <c r="C51" s="765">
        <v>45156</v>
      </c>
      <c r="D51" s="765">
        <v>45171</v>
      </c>
      <c r="E51" s="788">
        <v>2120000</v>
      </c>
      <c r="F51" s="788">
        <v>2400000</v>
      </c>
      <c r="G51" s="6">
        <f t="shared" si="0"/>
        <v>280000</v>
      </c>
    </row>
    <row r="52" spans="1:7" x14ac:dyDescent="0.25">
      <c r="A52" s="13">
        <v>7</v>
      </c>
      <c r="B52" s="344" t="s">
        <v>5168</v>
      </c>
      <c r="C52" s="276">
        <v>45188</v>
      </c>
      <c r="D52" s="276">
        <v>45188</v>
      </c>
      <c r="E52" s="788">
        <v>1915000</v>
      </c>
      <c r="F52" s="788">
        <v>2100000</v>
      </c>
      <c r="G52" s="6">
        <f t="shared" si="0"/>
        <v>185000</v>
      </c>
    </row>
    <row r="53" spans="1:7" x14ac:dyDescent="0.25">
      <c r="A53" s="13">
        <v>8</v>
      </c>
      <c r="B53" s="344" t="s">
        <v>5168</v>
      </c>
      <c r="C53" s="276">
        <v>45188</v>
      </c>
      <c r="D53" s="186">
        <v>45204</v>
      </c>
      <c r="E53" s="788">
        <v>1915000</v>
      </c>
      <c r="F53" s="788">
        <v>2200000</v>
      </c>
      <c r="G53" s="6">
        <f t="shared" si="0"/>
        <v>285000</v>
      </c>
    </row>
    <row r="54" spans="1:7" x14ac:dyDescent="0.25">
      <c r="A54" s="13">
        <v>9</v>
      </c>
      <c r="B54" s="344" t="s">
        <v>5170</v>
      </c>
      <c r="C54" s="276">
        <v>45188</v>
      </c>
      <c r="D54" s="344"/>
      <c r="E54" s="788">
        <v>2150000</v>
      </c>
      <c r="F54" s="344"/>
      <c r="G54" s="2"/>
    </row>
    <row r="55" spans="1:7" x14ac:dyDescent="0.25">
      <c r="A55" s="13">
        <v>10</v>
      </c>
      <c r="B55" s="344" t="s">
        <v>5169</v>
      </c>
      <c r="C55" s="276">
        <v>45188</v>
      </c>
      <c r="D55" s="344"/>
      <c r="E55" s="788">
        <v>2400000</v>
      </c>
      <c r="F55" s="344"/>
      <c r="G55" s="2"/>
    </row>
    <row r="56" spans="1:7" x14ac:dyDescent="0.25">
      <c r="A56" s="13">
        <v>11</v>
      </c>
      <c r="B56" s="344" t="s">
        <v>5173</v>
      </c>
      <c r="C56" s="186">
        <v>45211</v>
      </c>
      <c r="D56" s="344"/>
      <c r="E56" s="788">
        <v>2130000</v>
      </c>
      <c r="F56" s="344"/>
      <c r="G56" s="2"/>
    </row>
    <row r="57" spans="1:7" x14ac:dyDescent="0.25">
      <c r="B57" s="344"/>
      <c r="C57" s="344"/>
      <c r="D57" s="344"/>
      <c r="E57" s="344"/>
      <c r="F57" s="344"/>
      <c r="G57" s="2"/>
    </row>
    <row r="58" spans="1:7" x14ac:dyDescent="0.25">
      <c r="B58" s="344"/>
      <c r="C58" s="344"/>
      <c r="D58" s="344"/>
      <c r="E58" s="344"/>
      <c r="F58" s="344"/>
      <c r="G58" s="2"/>
    </row>
    <row r="59" spans="1:7" x14ac:dyDescent="0.25">
      <c r="B59" s="344"/>
      <c r="C59" s="344"/>
      <c r="D59" s="344"/>
      <c r="E59" s="344"/>
      <c r="F59" s="344"/>
      <c r="G59" s="2"/>
    </row>
    <row r="60" spans="1:7" x14ac:dyDescent="0.25">
      <c r="B60" s="158"/>
      <c r="C60" s="344"/>
      <c r="D60" s="344"/>
      <c r="E60" s="2"/>
      <c r="F60" s="2"/>
      <c r="G60" s="2"/>
    </row>
    <row r="61" spans="1:7" x14ac:dyDescent="0.25">
      <c r="B61" s="158"/>
      <c r="C61" s="344"/>
      <c r="D61" s="344"/>
      <c r="E61" s="2"/>
      <c r="F61" s="2"/>
      <c r="G61" s="2"/>
    </row>
    <row r="62" spans="1:7" x14ac:dyDescent="0.25">
      <c r="B62" s="158"/>
      <c r="C62" s="344"/>
      <c r="D62" s="344"/>
      <c r="E62" s="2"/>
      <c r="F62" s="2"/>
      <c r="G62" s="2"/>
    </row>
    <row r="66" spans="2:7" x14ac:dyDescent="0.25">
      <c r="G66" s="18">
        <f>G46+G47+G48+G49+G50+G51+G52+G53</f>
        <v>2080000</v>
      </c>
    </row>
    <row r="67" spans="2:7" x14ac:dyDescent="0.25">
      <c r="B67" s="13" t="s">
        <v>5172</v>
      </c>
    </row>
  </sheetData>
  <phoneticPr fontId="3" type="noConversion"/>
  <pageMargins left="0.7" right="0.7" top="0.75" bottom="0.75" header="0.3" footer="0.3"/>
  <pageSetup paperSize="9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>
      <selection activeCell="E10" sqref="E10"/>
    </sheetView>
  </sheetViews>
  <sheetFormatPr baseColWidth="10" defaultRowHeight="15" x14ac:dyDescent="0.25"/>
  <sheetData>
    <row r="2" spans="1:3" x14ac:dyDescent="0.25">
      <c r="A2" t="s">
        <v>1392</v>
      </c>
      <c r="C2" s="361">
        <v>20000</v>
      </c>
    </row>
    <row r="3" spans="1:3" x14ac:dyDescent="0.25">
      <c r="A3" t="s">
        <v>1391</v>
      </c>
      <c r="C3" s="361">
        <v>20000</v>
      </c>
    </row>
    <row r="4" spans="1:3" x14ac:dyDescent="0.25">
      <c r="A4" t="s">
        <v>1393</v>
      </c>
      <c r="C4" s="361">
        <v>40000</v>
      </c>
    </row>
    <row r="5" spans="1:3" x14ac:dyDescent="0.25">
      <c r="A5" t="s">
        <v>1394</v>
      </c>
      <c r="C5" s="361">
        <v>275000</v>
      </c>
    </row>
    <row r="6" spans="1:3" x14ac:dyDescent="0.25">
      <c r="A6" t="s">
        <v>1395</v>
      </c>
      <c r="C6" s="361">
        <v>125000</v>
      </c>
    </row>
    <row r="7" spans="1:3" x14ac:dyDescent="0.25">
      <c r="A7" t="s">
        <v>1396</v>
      </c>
      <c r="C7" s="361">
        <v>50000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topLeftCell="A7" workbookViewId="0">
      <selection activeCell="D6" sqref="D6"/>
    </sheetView>
  </sheetViews>
  <sheetFormatPr baseColWidth="10" defaultRowHeight="15" x14ac:dyDescent="0.25"/>
  <cols>
    <col min="1" max="1" width="34.7109375" style="208" bestFit="1" customWidth="1"/>
    <col min="3" max="3" width="11.42578125" style="13"/>
    <col min="4" max="4" width="17.85546875" style="253" bestFit="1" customWidth="1"/>
  </cols>
  <sheetData>
    <row r="3" spans="1:4" x14ac:dyDescent="0.25">
      <c r="C3" s="217"/>
    </row>
    <row r="4" spans="1:4" x14ac:dyDescent="0.25">
      <c r="A4" s="214" t="s">
        <v>169</v>
      </c>
      <c r="B4" s="219" t="s">
        <v>676</v>
      </c>
      <c r="C4" s="177" t="s">
        <v>682</v>
      </c>
      <c r="D4" s="252" t="s">
        <v>760</v>
      </c>
    </row>
    <row r="5" spans="1:4" s="212" customFormat="1" x14ac:dyDescent="0.25">
      <c r="A5" s="185" t="s">
        <v>678</v>
      </c>
      <c r="B5" s="223" t="s">
        <v>677</v>
      </c>
      <c r="C5" s="191">
        <v>2</v>
      </c>
      <c r="D5" s="254">
        <v>600000</v>
      </c>
    </row>
    <row r="6" spans="1:4" s="212" customFormat="1" x14ac:dyDescent="0.25">
      <c r="A6" s="185" t="s">
        <v>679</v>
      </c>
      <c r="B6" s="223" t="s">
        <v>680</v>
      </c>
      <c r="C6" s="211">
        <v>2</v>
      </c>
      <c r="D6" s="255">
        <v>450000</v>
      </c>
    </row>
    <row r="7" spans="1:4" s="212" customFormat="1" x14ac:dyDescent="0.25">
      <c r="A7" s="185" t="s">
        <v>679</v>
      </c>
      <c r="B7" s="223" t="s">
        <v>85</v>
      </c>
      <c r="C7" s="211">
        <v>3</v>
      </c>
      <c r="D7" s="255">
        <v>450000</v>
      </c>
    </row>
    <row r="8" spans="1:4" s="212" customFormat="1" x14ac:dyDescent="0.25">
      <c r="A8" s="185" t="s">
        <v>679</v>
      </c>
      <c r="B8" s="223" t="s">
        <v>84</v>
      </c>
      <c r="C8" s="211">
        <v>1</v>
      </c>
      <c r="D8" s="255">
        <v>400000</v>
      </c>
    </row>
    <row r="9" spans="1:4" s="212" customFormat="1" x14ac:dyDescent="0.25">
      <c r="A9" s="185" t="s">
        <v>679</v>
      </c>
      <c r="B9" s="223" t="s">
        <v>681</v>
      </c>
      <c r="C9" s="216">
        <v>1</v>
      </c>
      <c r="D9" s="255">
        <v>600000</v>
      </c>
    </row>
    <row r="10" spans="1:4" s="212" customFormat="1" ht="18.75" x14ac:dyDescent="0.25">
      <c r="A10" s="220" t="s">
        <v>683</v>
      </c>
      <c r="B10" s="221" t="s">
        <v>758</v>
      </c>
      <c r="C10" s="251" t="s">
        <v>759</v>
      </c>
      <c r="D10" s="254">
        <v>1200000</v>
      </c>
    </row>
    <row r="11" spans="1:4" s="212" customFormat="1" ht="12.75" customHeight="1" x14ac:dyDescent="0.25">
      <c r="A11" s="220" t="s">
        <v>683</v>
      </c>
      <c r="B11" s="191" t="s">
        <v>757</v>
      </c>
      <c r="C11" s="221" t="s">
        <v>684</v>
      </c>
      <c r="D11" s="256">
        <v>650000</v>
      </c>
    </row>
    <row r="12" spans="1:4" x14ac:dyDescent="0.25">
      <c r="A12" s="220" t="s">
        <v>698</v>
      </c>
      <c r="B12" s="215"/>
      <c r="C12" s="222">
        <v>5</v>
      </c>
      <c r="D12" s="256">
        <v>75000</v>
      </c>
    </row>
    <row r="13" spans="1:4" x14ac:dyDescent="0.25">
      <c r="A13" s="220" t="s">
        <v>762</v>
      </c>
      <c r="B13" s="221" t="s">
        <v>761</v>
      </c>
      <c r="C13" s="310">
        <v>9</v>
      </c>
      <c r="D13" s="256">
        <v>275000</v>
      </c>
    </row>
    <row r="14" spans="1:4" x14ac:dyDescent="0.25">
      <c r="B14" s="4"/>
      <c r="C14" s="213"/>
    </row>
  </sheetData>
  <phoneticPr fontId="3" type="noConversion"/>
  <pageMargins left="0.7" right="0.7" top="0.75" bottom="0.75" header="0.3" footer="0.3"/>
  <pageSetup paperSize="9" orientation="portrait" r:id="rId1"/>
  <ignoredErrors>
    <ignoredError sqref="C10:C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B3" workbookViewId="0">
      <selection activeCell="G9" sqref="G9"/>
    </sheetView>
  </sheetViews>
  <sheetFormatPr baseColWidth="10" defaultRowHeight="15" x14ac:dyDescent="0.25"/>
  <cols>
    <col min="1" max="1" width="19.42578125" hidden="1" customWidth="1"/>
    <col min="2" max="2" width="15.42578125" customWidth="1"/>
    <col min="3" max="3" width="25.140625" style="13" customWidth="1"/>
    <col min="4" max="5" width="30" customWidth="1"/>
  </cols>
  <sheetData>
    <row r="1" spans="1:7" ht="15.75" thickBot="1" x14ac:dyDescent="0.3"/>
    <row r="2" spans="1:7" x14ac:dyDescent="0.25">
      <c r="D2" s="877" t="s">
        <v>86</v>
      </c>
      <c r="E2" s="878"/>
      <c r="F2" s="878"/>
      <c r="G2" s="879"/>
    </row>
    <row r="3" spans="1:7" ht="15.75" thickBot="1" x14ac:dyDescent="0.3">
      <c r="D3" s="880"/>
      <c r="E3" s="881"/>
      <c r="F3" s="881"/>
      <c r="G3" s="882"/>
    </row>
    <row r="5" spans="1:7" x14ac:dyDescent="0.25">
      <c r="A5" s="21" t="s">
        <v>50</v>
      </c>
      <c r="B5" s="21" t="s">
        <v>51</v>
      </c>
      <c r="C5" s="160" t="s">
        <v>81</v>
      </c>
      <c r="D5" s="21" t="s">
        <v>82</v>
      </c>
    </row>
    <row r="6" spans="1:7" x14ac:dyDescent="0.25">
      <c r="A6" s="2"/>
      <c r="B6" s="2" t="s">
        <v>83</v>
      </c>
      <c r="C6" s="146" t="s">
        <v>323</v>
      </c>
      <c r="D6" s="2" t="s">
        <v>84</v>
      </c>
    </row>
    <row r="7" spans="1:7" x14ac:dyDescent="0.25">
      <c r="A7" s="2" t="s">
        <v>78</v>
      </c>
      <c r="B7" s="2" t="s">
        <v>79</v>
      </c>
      <c r="C7" s="146" t="s">
        <v>324</v>
      </c>
      <c r="D7" s="2" t="s">
        <v>85</v>
      </c>
    </row>
    <row r="8" spans="1:7" x14ac:dyDescent="0.25">
      <c r="A8" s="2" t="s">
        <v>92</v>
      </c>
      <c r="B8" s="2" t="s">
        <v>93</v>
      </c>
      <c r="C8" s="146" t="s">
        <v>325</v>
      </c>
      <c r="D8" s="2" t="s">
        <v>95</v>
      </c>
    </row>
    <row r="9" spans="1:7" x14ac:dyDescent="0.25">
      <c r="A9" s="2" t="s">
        <v>107</v>
      </c>
      <c r="B9" s="2" t="s">
        <v>108</v>
      </c>
      <c r="C9" s="146" t="s">
        <v>326</v>
      </c>
      <c r="D9" s="2" t="s">
        <v>95</v>
      </c>
    </row>
    <row r="10" spans="1:7" x14ac:dyDescent="0.25">
      <c r="A10" s="2" t="s">
        <v>109</v>
      </c>
      <c r="B10" s="2" t="s">
        <v>110</v>
      </c>
      <c r="C10" s="146" t="s">
        <v>327</v>
      </c>
      <c r="D10" s="2" t="s">
        <v>85</v>
      </c>
      <c r="E10" s="159" t="s">
        <v>501</v>
      </c>
    </row>
    <row r="11" spans="1:7" x14ac:dyDescent="0.25">
      <c r="A11" s="2" t="s">
        <v>319</v>
      </c>
      <c r="B11" s="2" t="s">
        <v>320</v>
      </c>
      <c r="C11" s="145" t="s">
        <v>328</v>
      </c>
      <c r="D11" s="2" t="s">
        <v>321</v>
      </c>
      <c r="E11" s="155"/>
    </row>
    <row r="12" spans="1:7" x14ac:dyDescent="0.25">
      <c r="A12" s="2" t="s">
        <v>319</v>
      </c>
      <c r="B12" s="2" t="s">
        <v>322</v>
      </c>
      <c r="C12" s="145" t="s">
        <v>329</v>
      </c>
      <c r="D12" s="2" t="s">
        <v>330</v>
      </c>
      <c r="E12" s="159" t="s">
        <v>501</v>
      </c>
    </row>
    <row r="13" spans="1:7" x14ac:dyDescent="0.25">
      <c r="A13" s="2" t="s">
        <v>109</v>
      </c>
      <c r="B13" s="2" t="s">
        <v>492</v>
      </c>
      <c r="C13" s="158" t="s">
        <v>493</v>
      </c>
      <c r="D13" s="2" t="s">
        <v>494</v>
      </c>
    </row>
    <row r="14" spans="1:7" x14ac:dyDescent="0.25">
      <c r="A14" s="2" t="s">
        <v>319</v>
      </c>
      <c r="B14" s="2" t="s">
        <v>498</v>
      </c>
      <c r="C14" s="158" t="s">
        <v>499</v>
      </c>
      <c r="D14" s="2" t="s">
        <v>500</v>
      </c>
    </row>
    <row r="15" spans="1:7" x14ac:dyDescent="0.25">
      <c r="A15" s="2" t="s">
        <v>319</v>
      </c>
      <c r="B15" s="2" t="s">
        <v>506</v>
      </c>
      <c r="C15" s="158" t="s">
        <v>507</v>
      </c>
      <c r="D15" s="2" t="s">
        <v>508</v>
      </c>
    </row>
    <row r="16" spans="1:7" x14ac:dyDescent="0.25">
      <c r="A16" s="163" t="s">
        <v>109</v>
      </c>
      <c r="B16" s="164" t="s">
        <v>526</v>
      </c>
      <c r="C16" s="165" t="s">
        <v>527</v>
      </c>
      <c r="D16" s="224" t="s">
        <v>528</v>
      </c>
      <c r="E16" s="226" t="s">
        <v>529</v>
      </c>
      <c r="F16" s="166"/>
    </row>
    <row r="17" spans="1:5" x14ac:dyDescent="0.25">
      <c r="A17" s="2" t="s">
        <v>319</v>
      </c>
      <c r="B17" s="260" t="s">
        <v>548</v>
      </c>
      <c r="C17" s="245" t="s">
        <v>397</v>
      </c>
      <c r="D17" s="225" t="s">
        <v>84</v>
      </c>
      <c r="E17" s="227" t="s">
        <v>529</v>
      </c>
    </row>
    <row r="18" spans="1:5" x14ac:dyDescent="0.25">
      <c r="A18" s="2" t="s">
        <v>109</v>
      </c>
      <c r="B18" s="2" t="s">
        <v>549</v>
      </c>
      <c r="C18" s="158" t="s">
        <v>550</v>
      </c>
      <c r="D18" s="225" t="s">
        <v>551</v>
      </c>
      <c r="E18" s="227" t="s">
        <v>529</v>
      </c>
    </row>
    <row r="19" spans="1:5" x14ac:dyDescent="0.25">
      <c r="A19" s="2" t="s">
        <v>109</v>
      </c>
      <c r="B19" s="2" t="s">
        <v>558</v>
      </c>
      <c r="C19" s="158" t="s">
        <v>559</v>
      </c>
      <c r="D19" s="225" t="s">
        <v>560</v>
      </c>
      <c r="E19" s="227" t="s">
        <v>529</v>
      </c>
    </row>
    <row r="20" spans="1:5" x14ac:dyDescent="0.25">
      <c r="A20" s="2" t="s">
        <v>109</v>
      </c>
      <c r="B20" s="2" t="s">
        <v>699</v>
      </c>
      <c r="C20" s="158" t="s">
        <v>700</v>
      </c>
      <c r="D20" s="225" t="s">
        <v>84</v>
      </c>
      <c r="E20" s="227" t="s">
        <v>529</v>
      </c>
    </row>
    <row r="21" spans="1:5" x14ac:dyDescent="0.25">
      <c r="A21" s="2" t="s">
        <v>706</v>
      </c>
      <c r="B21" s="2" t="s">
        <v>707</v>
      </c>
      <c r="C21" s="158" t="s">
        <v>708</v>
      </c>
      <c r="D21" s="225" t="s">
        <v>84</v>
      </c>
      <c r="E21" s="227" t="s">
        <v>529</v>
      </c>
    </row>
    <row r="22" spans="1:5" x14ac:dyDescent="0.25">
      <c r="A22" s="2" t="s">
        <v>709</v>
      </c>
      <c r="B22" s="2" t="s">
        <v>320</v>
      </c>
      <c r="C22" s="158" t="s">
        <v>710</v>
      </c>
      <c r="D22" s="225" t="s">
        <v>711</v>
      </c>
      <c r="E22" s="227" t="s">
        <v>529</v>
      </c>
    </row>
    <row r="23" spans="1:5" x14ac:dyDescent="0.25">
      <c r="A23" s="2" t="s">
        <v>712</v>
      </c>
      <c r="B23" s="2" t="s">
        <v>713</v>
      </c>
      <c r="C23" s="158" t="s">
        <v>714</v>
      </c>
      <c r="D23" s="2" t="s">
        <v>715</v>
      </c>
    </row>
    <row r="24" spans="1:5" x14ac:dyDescent="0.25">
      <c r="B24" s="259" t="s">
        <v>771</v>
      </c>
      <c r="C24" s="245" t="s">
        <v>772</v>
      </c>
      <c r="D24" s="2"/>
    </row>
    <row r="25" spans="1:5" x14ac:dyDescent="0.25">
      <c r="B25" s="136" t="s">
        <v>780</v>
      </c>
      <c r="C25" s="13" t="s">
        <v>779</v>
      </c>
      <c r="D25" s="136" t="s">
        <v>781</v>
      </c>
    </row>
    <row r="26" spans="1:5" x14ac:dyDescent="0.25">
      <c r="B26" s="315" t="s">
        <v>1221</v>
      </c>
      <c r="C26" s="316" t="s">
        <v>1222</v>
      </c>
      <c r="D26" s="315" t="s">
        <v>85</v>
      </c>
      <c r="E26" s="227" t="s">
        <v>529</v>
      </c>
    </row>
  </sheetData>
  <mergeCells count="1">
    <mergeCell ref="D2:G3"/>
  </mergeCells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4" workbookViewId="0">
      <selection activeCell="A7" sqref="A7"/>
    </sheetView>
  </sheetViews>
  <sheetFormatPr baseColWidth="10" defaultRowHeight="15" x14ac:dyDescent="0.25"/>
  <cols>
    <col min="1" max="1" width="23.85546875" customWidth="1"/>
    <col min="2" max="2" width="6.85546875" customWidth="1"/>
    <col min="3" max="3" width="22.85546875" customWidth="1"/>
    <col min="4" max="4" width="27.7109375" customWidth="1"/>
    <col min="5" max="5" width="16.7109375" customWidth="1"/>
    <col min="6" max="9" width="20.5703125" customWidth="1"/>
    <col min="10" max="11" width="20.7109375" customWidth="1"/>
    <col min="12" max="12" width="25" customWidth="1"/>
    <col min="13" max="13" width="15.85546875" customWidth="1"/>
    <col min="14" max="14" width="15" customWidth="1"/>
  </cols>
  <sheetData>
    <row r="1" spans="1:14" ht="15.75" thickBot="1" x14ac:dyDescent="0.3"/>
    <row r="2" spans="1:14" x14ac:dyDescent="0.25">
      <c r="C2" s="883" t="s">
        <v>38</v>
      </c>
      <c r="D2" s="884"/>
      <c r="E2" s="885"/>
    </row>
    <row r="3" spans="1:14" ht="15.75" thickBot="1" x14ac:dyDescent="0.3">
      <c r="C3" s="886"/>
      <c r="D3" s="887"/>
      <c r="E3" s="888"/>
    </row>
    <row r="6" spans="1:14" x14ac:dyDescent="0.25">
      <c r="A6" s="1" t="s">
        <v>35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23</v>
      </c>
      <c r="G6" s="1" t="s">
        <v>33</v>
      </c>
      <c r="H6" s="1" t="s">
        <v>36</v>
      </c>
      <c r="I6" s="1" t="s">
        <v>4</v>
      </c>
      <c r="J6" s="1" t="s">
        <v>15</v>
      </c>
      <c r="K6" s="1" t="s">
        <v>34</v>
      </c>
      <c r="L6" s="1" t="s">
        <v>5</v>
      </c>
      <c r="M6" s="1" t="s">
        <v>39</v>
      </c>
    </row>
    <row r="7" spans="1:14" x14ac:dyDescent="0.25">
      <c r="A7" s="9">
        <v>43939</v>
      </c>
      <c r="B7" s="65">
        <v>1</v>
      </c>
      <c r="C7" s="2" t="s">
        <v>27</v>
      </c>
      <c r="D7" s="2" t="s">
        <v>6</v>
      </c>
      <c r="E7" s="2" t="s">
        <v>16</v>
      </c>
      <c r="F7" s="6">
        <v>20750000</v>
      </c>
      <c r="G7" s="6"/>
      <c r="H7" s="6"/>
      <c r="I7" s="6">
        <v>22500000</v>
      </c>
      <c r="J7" s="5" t="s">
        <v>17</v>
      </c>
      <c r="K7" s="11">
        <v>43944</v>
      </c>
      <c r="L7" s="6">
        <f>I7-F7</f>
        <v>1750000</v>
      </c>
      <c r="M7" s="2" t="s">
        <v>40</v>
      </c>
    </row>
    <row r="8" spans="1:14" x14ac:dyDescent="0.25">
      <c r="A8" s="9">
        <v>43941</v>
      </c>
      <c r="B8" s="65">
        <f>B7+1</f>
        <v>2</v>
      </c>
      <c r="C8" s="2" t="s">
        <v>26</v>
      </c>
      <c r="D8" s="2" t="s">
        <v>7</v>
      </c>
      <c r="E8" s="2" t="str">
        <f>E7</f>
        <v>100 cc</v>
      </c>
      <c r="F8" s="6">
        <v>11000000</v>
      </c>
      <c r="G8" s="6"/>
      <c r="H8" s="6"/>
      <c r="I8" s="6">
        <v>12000000</v>
      </c>
      <c r="J8" s="5" t="s">
        <v>17</v>
      </c>
      <c r="K8" s="11">
        <v>43948</v>
      </c>
      <c r="L8" s="6">
        <f>I8-F8</f>
        <v>1000000</v>
      </c>
      <c r="M8" s="2" t="s">
        <v>40</v>
      </c>
    </row>
    <row r="9" spans="1:14" x14ac:dyDescent="0.25">
      <c r="A9" s="9">
        <v>43940</v>
      </c>
      <c r="B9" s="65">
        <f t="shared" ref="B9:B23" si="0">B8+1</f>
        <v>3</v>
      </c>
      <c r="C9" s="2" t="s">
        <v>24</v>
      </c>
      <c r="D9" s="2" t="s">
        <v>8</v>
      </c>
      <c r="E9" s="2" t="str">
        <f t="shared" ref="E9:E20" si="1">E8</f>
        <v>100 cc</v>
      </c>
      <c r="F9" s="6">
        <v>15750000</v>
      </c>
      <c r="G9" s="6"/>
      <c r="H9" s="6"/>
      <c r="I9" s="6">
        <v>17250000</v>
      </c>
      <c r="J9" s="5" t="s">
        <v>17</v>
      </c>
      <c r="K9" s="11">
        <v>43942</v>
      </c>
      <c r="L9" s="6">
        <f t="shared" ref="L9:L17" si="2">I9-F9</f>
        <v>1500000</v>
      </c>
      <c r="M9" s="2" t="s">
        <v>40</v>
      </c>
    </row>
    <row r="10" spans="1:14" x14ac:dyDescent="0.25">
      <c r="A10" s="9">
        <v>43940</v>
      </c>
      <c r="B10" s="65">
        <f t="shared" si="0"/>
        <v>4</v>
      </c>
      <c r="C10" s="2" t="s">
        <v>25</v>
      </c>
      <c r="D10" s="2" t="s">
        <v>9</v>
      </c>
      <c r="E10" s="2" t="str">
        <f t="shared" si="1"/>
        <v>100 cc</v>
      </c>
      <c r="F10" s="6">
        <v>16000000</v>
      </c>
      <c r="G10" s="6"/>
      <c r="H10" s="6"/>
      <c r="I10" s="6">
        <v>16500000</v>
      </c>
      <c r="J10" s="5" t="str">
        <f>J9</f>
        <v>VENDU</v>
      </c>
      <c r="K10" s="11">
        <v>43941</v>
      </c>
      <c r="L10" s="6">
        <f t="shared" si="2"/>
        <v>500000</v>
      </c>
      <c r="M10" s="2" t="s">
        <v>40</v>
      </c>
    </row>
    <row r="11" spans="1:14" x14ac:dyDescent="0.25">
      <c r="A11" s="9">
        <v>43941</v>
      </c>
      <c r="B11" s="65">
        <f t="shared" si="0"/>
        <v>5</v>
      </c>
      <c r="C11" s="2" t="s">
        <v>25</v>
      </c>
      <c r="D11" s="2" t="s">
        <v>10</v>
      </c>
      <c r="E11" s="2" t="str">
        <f t="shared" si="1"/>
        <v>100 cc</v>
      </c>
      <c r="F11" s="6">
        <v>14000000</v>
      </c>
      <c r="G11" s="6"/>
      <c r="H11" s="6"/>
      <c r="I11" s="6">
        <v>16000000</v>
      </c>
      <c r="J11" s="5" t="s">
        <v>17</v>
      </c>
      <c r="K11" s="11">
        <v>43942</v>
      </c>
      <c r="L11" s="6">
        <f t="shared" si="2"/>
        <v>2000000</v>
      </c>
      <c r="M11" s="2" t="s">
        <v>40</v>
      </c>
    </row>
    <row r="12" spans="1:14" x14ac:dyDescent="0.25">
      <c r="A12" s="9">
        <v>43941</v>
      </c>
      <c r="B12" s="65">
        <f t="shared" si="0"/>
        <v>6</v>
      </c>
      <c r="C12" s="2" t="s">
        <v>25</v>
      </c>
      <c r="D12" s="2" t="s">
        <v>11</v>
      </c>
      <c r="E12" s="2" t="str">
        <f t="shared" si="1"/>
        <v>100 cc</v>
      </c>
      <c r="F12" s="6">
        <v>14000000</v>
      </c>
      <c r="G12" s="6"/>
      <c r="H12" s="6"/>
      <c r="I12" s="6">
        <v>16000000</v>
      </c>
      <c r="J12" s="5" t="s">
        <v>17</v>
      </c>
      <c r="K12" s="11">
        <v>43941</v>
      </c>
      <c r="L12" s="6">
        <f t="shared" si="2"/>
        <v>2000000</v>
      </c>
      <c r="M12" s="2" t="s">
        <v>40</v>
      </c>
    </row>
    <row r="13" spans="1:14" x14ac:dyDescent="0.25">
      <c r="A13" s="9">
        <v>43938</v>
      </c>
      <c r="B13" s="65">
        <f t="shared" si="0"/>
        <v>7</v>
      </c>
      <c r="C13" s="2" t="s">
        <v>25</v>
      </c>
      <c r="D13" s="2" t="s">
        <v>12</v>
      </c>
      <c r="E13" s="2" t="str">
        <f t="shared" si="1"/>
        <v>100 cc</v>
      </c>
      <c r="F13" s="6">
        <v>16000000</v>
      </c>
      <c r="G13" s="6"/>
      <c r="H13" s="6"/>
      <c r="I13" s="54">
        <v>16400000</v>
      </c>
      <c r="J13" s="5" t="s">
        <v>17</v>
      </c>
      <c r="K13" s="11">
        <v>43941</v>
      </c>
      <c r="L13" s="6">
        <f t="shared" si="2"/>
        <v>400000</v>
      </c>
      <c r="M13" s="2" t="s">
        <v>40</v>
      </c>
    </row>
    <row r="14" spans="1:14" x14ac:dyDescent="0.25">
      <c r="A14" s="9">
        <v>43941</v>
      </c>
      <c r="B14" s="65">
        <f t="shared" si="0"/>
        <v>8</v>
      </c>
      <c r="C14" s="2" t="s">
        <v>25</v>
      </c>
      <c r="D14" s="2" t="s">
        <v>13</v>
      </c>
      <c r="E14" s="2" t="str">
        <f t="shared" si="1"/>
        <v>100 cc</v>
      </c>
      <c r="F14" s="6">
        <v>14000000</v>
      </c>
      <c r="G14" s="6"/>
      <c r="H14" s="6"/>
      <c r="I14" s="6">
        <v>13000000</v>
      </c>
      <c r="J14" s="5" t="s">
        <v>17</v>
      </c>
      <c r="K14" s="11">
        <v>43944</v>
      </c>
      <c r="L14" s="6">
        <f t="shared" si="2"/>
        <v>-1000000</v>
      </c>
      <c r="M14" s="2" t="s">
        <v>40</v>
      </c>
      <c r="N14" t="s">
        <v>129</v>
      </c>
    </row>
    <row r="15" spans="1:14" x14ac:dyDescent="0.25">
      <c r="A15" s="9">
        <v>43941</v>
      </c>
      <c r="B15" s="65">
        <f t="shared" si="0"/>
        <v>9</v>
      </c>
      <c r="C15" s="2" t="s">
        <v>25</v>
      </c>
      <c r="D15" s="2" t="s">
        <v>14</v>
      </c>
      <c r="E15" s="2" t="str">
        <f t="shared" si="1"/>
        <v>100 cc</v>
      </c>
      <c r="F15" s="6">
        <v>14000000</v>
      </c>
      <c r="G15" s="6"/>
      <c r="H15" s="6"/>
      <c r="I15" s="6">
        <v>15500000</v>
      </c>
      <c r="J15" s="5" t="s">
        <v>17</v>
      </c>
      <c r="K15" s="11">
        <v>43942</v>
      </c>
      <c r="L15" s="6">
        <f t="shared" si="2"/>
        <v>1500000</v>
      </c>
      <c r="M15" s="2" t="s">
        <v>40</v>
      </c>
    </row>
    <row r="16" spans="1:14" x14ac:dyDescent="0.25">
      <c r="A16" s="9">
        <v>43942</v>
      </c>
      <c r="B16" s="65">
        <f t="shared" si="0"/>
        <v>10</v>
      </c>
      <c r="C16" s="2" t="s">
        <v>28</v>
      </c>
      <c r="D16" s="2" t="s">
        <v>19</v>
      </c>
      <c r="E16" s="2" t="str">
        <f t="shared" si="1"/>
        <v>100 cc</v>
      </c>
      <c r="F16" s="6">
        <v>13500000</v>
      </c>
      <c r="G16" s="6"/>
      <c r="H16" s="6"/>
      <c r="I16" s="6">
        <v>14600000</v>
      </c>
      <c r="J16" s="5" t="s">
        <v>17</v>
      </c>
      <c r="K16" s="11">
        <v>43943</v>
      </c>
      <c r="L16" s="6">
        <f t="shared" si="2"/>
        <v>1100000</v>
      </c>
      <c r="M16" s="2" t="s">
        <v>40</v>
      </c>
    </row>
    <row r="17" spans="1:16" x14ac:dyDescent="0.25">
      <c r="A17" s="9">
        <v>43942</v>
      </c>
      <c r="B17" s="65">
        <f t="shared" si="0"/>
        <v>11</v>
      </c>
      <c r="C17" s="2" t="str">
        <f>C16</f>
        <v xml:space="preserve">KYMCO G5 </v>
      </c>
      <c r="D17" s="2" t="s">
        <v>46</v>
      </c>
      <c r="E17" s="2" t="str">
        <f t="shared" si="1"/>
        <v>100 cc</v>
      </c>
      <c r="F17" s="6">
        <f>F16</f>
        <v>13500000</v>
      </c>
      <c r="G17" s="6"/>
      <c r="H17" s="6"/>
      <c r="I17" s="6">
        <v>14400000</v>
      </c>
      <c r="J17" s="5" t="s">
        <v>17</v>
      </c>
      <c r="K17" s="11">
        <v>43943</v>
      </c>
      <c r="L17" s="6">
        <f t="shared" si="2"/>
        <v>900000</v>
      </c>
      <c r="M17" s="2" t="s">
        <v>40</v>
      </c>
    </row>
    <row r="18" spans="1:16" x14ac:dyDescent="0.25">
      <c r="A18" s="9">
        <v>43942</v>
      </c>
      <c r="B18" s="65">
        <f t="shared" si="0"/>
        <v>12</v>
      </c>
      <c r="C18" s="2" t="str">
        <f>C17</f>
        <v xml:space="preserve">KYMCO G5 </v>
      </c>
      <c r="D18" s="2" t="s">
        <v>20</v>
      </c>
      <c r="E18" s="2" t="str">
        <f t="shared" si="1"/>
        <v>100 cc</v>
      </c>
      <c r="F18" s="6">
        <v>12650000</v>
      </c>
      <c r="G18" s="6"/>
      <c r="H18" s="6"/>
      <c r="I18" s="6">
        <v>13225000</v>
      </c>
      <c r="J18" s="5" t="s">
        <v>17</v>
      </c>
      <c r="K18" s="11">
        <v>43948</v>
      </c>
      <c r="L18" s="6">
        <f t="shared" ref="L18:L23" si="3">I18-F18</f>
        <v>575000</v>
      </c>
      <c r="M18" s="2" t="s">
        <v>40</v>
      </c>
    </row>
    <row r="19" spans="1:16" x14ac:dyDescent="0.25">
      <c r="A19" s="9">
        <v>43942</v>
      </c>
      <c r="B19" s="65">
        <f t="shared" si="0"/>
        <v>13</v>
      </c>
      <c r="C19" s="2" t="str">
        <f>C18</f>
        <v xml:space="preserve">KYMCO G5 </v>
      </c>
      <c r="D19" s="2" t="s">
        <v>21</v>
      </c>
      <c r="E19" s="2" t="str">
        <f t="shared" si="1"/>
        <v>100 cc</v>
      </c>
      <c r="F19" s="6">
        <f>F18</f>
        <v>12650000</v>
      </c>
      <c r="G19" s="6"/>
      <c r="H19" s="6"/>
      <c r="I19" s="6">
        <v>13425000</v>
      </c>
      <c r="J19" s="5" t="s">
        <v>17</v>
      </c>
      <c r="K19" s="11">
        <v>43944</v>
      </c>
      <c r="L19" s="6">
        <f t="shared" si="3"/>
        <v>775000</v>
      </c>
      <c r="M19" s="3" t="s">
        <v>40</v>
      </c>
    </row>
    <row r="20" spans="1:16" x14ac:dyDescent="0.25">
      <c r="A20" s="9">
        <v>43942</v>
      </c>
      <c r="B20" s="65">
        <f t="shared" si="0"/>
        <v>14</v>
      </c>
      <c r="C20" s="2" t="s">
        <v>18</v>
      </c>
      <c r="D20" s="2" t="s">
        <v>22</v>
      </c>
      <c r="E20" s="2" t="str">
        <f t="shared" si="1"/>
        <v>100 cc</v>
      </c>
      <c r="F20" s="6">
        <v>14950000</v>
      </c>
      <c r="G20" s="6"/>
      <c r="H20" s="6"/>
      <c r="I20" s="6">
        <v>17000000</v>
      </c>
      <c r="J20" s="5" t="s">
        <v>17</v>
      </c>
      <c r="K20" s="11">
        <v>43947</v>
      </c>
      <c r="L20" s="63">
        <f t="shared" si="3"/>
        <v>2050000</v>
      </c>
      <c r="M20" s="2" t="s">
        <v>40</v>
      </c>
      <c r="N20" s="67"/>
      <c r="O20" s="62"/>
      <c r="P20" s="62"/>
    </row>
    <row r="21" spans="1:16" x14ac:dyDescent="0.25">
      <c r="A21" s="9">
        <v>43943</v>
      </c>
      <c r="B21" s="65">
        <f t="shared" si="0"/>
        <v>15</v>
      </c>
      <c r="C21" s="2" t="s">
        <v>89</v>
      </c>
      <c r="D21" s="2" t="s">
        <v>90</v>
      </c>
      <c r="E21" s="2" t="s">
        <v>16</v>
      </c>
      <c r="F21" s="6">
        <v>10000000</v>
      </c>
      <c r="G21" s="2"/>
      <c r="H21" s="2"/>
      <c r="I21" s="6">
        <v>11000000</v>
      </c>
      <c r="J21" s="5" t="s">
        <v>17</v>
      </c>
      <c r="K21" s="24">
        <v>43944</v>
      </c>
      <c r="L21" s="6">
        <f t="shared" si="3"/>
        <v>1000000</v>
      </c>
      <c r="M21" s="43" t="s">
        <v>40</v>
      </c>
      <c r="N21" s="62"/>
      <c r="O21" s="62"/>
      <c r="P21" s="62"/>
    </row>
    <row r="22" spans="1:16" x14ac:dyDescent="0.25">
      <c r="A22" s="9">
        <v>43945</v>
      </c>
      <c r="B22" s="65">
        <f t="shared" si="0"/>
        <v>16</v>
      </c>
      <c r="C22" s="2" t="s">
        <v>24</v>
      </c>
      <c r="D22" s="17" t="s">
        <v>115</v>
      </c>
      <c r="E22" s="2" t="s">
        <v>16</v>
      </c>
      <c r="F22" s="6">
        <v>21600000</v>
      </c>
      <c r="G22" s="6"/>
      <c r="H22" s="2"/>
      <c r="I22" s="6">
        <v>24000000</v>
      </c>
      <c r="J22" s="5" t="s">
        <v>17</v>
      </c>
      <c r="K22" s="24">
        <v>43949</v>
      </c>
      <c r="L22" s="2">
        <f t="shared" si="3"/>
        <v>2400000</v>
      </c>
      <c r="M22" s="43" t="s">
        <v>40</v>
      </c>
    </row>
    <row r="23" spans="1:16" x14ac:dyDescent="0.25">
      <c r="A23" s="9">
        <v>43945</v>
      </c>
      <c r="B23" s="65">
        <f t="shared" si="0"/>
        <v>17</v>
      </c>
      <c r="C23" s="2" t="s">
        <v>25</v>
      </c>
      <c r="D23" s="2" t="s">
        <v>116</v>
      </c>
      <c r="E23" s="2" t="s">
        <v>16</v>
      </c>
      <c r="F23" s="6">
        <v>15000000</v>
      </c>
      <c r="G23" s="2"/>
      <c r="H23" s="2"/>
      <c r="I23" s="6">
        <v>17250000</v>
      </c>
      <c r="J23" s="5" t="s">
        <v>17</v>
      </c>
      <c r="K23" s="24">
        <v>43949</v>
      </c>
      <c r="L23" s="2">
        <f t="shared" si="3"/>
        <v>2250000</v>
      </c>
      <c r="M23" s="43" t="s">
        <v>40</v>
      </c>
    </row>
    <row r="24" spans="1:16" x14ac:dyDescent="0.25">
      <c r="A24" s="9"/>
      <c r="B24" s="2"/>
      <c r="C24" s="2"/>
      <c r="D24" s="2"/>
      <c r="E24" s="2"/>
      <c r="F24" s="6"/>
      <c r="G24" s="2"/>
      <c r="H24" s="2"/>
      <c r="I24" s="2"/>
      <c r="J24" s="10"/>
      <c r="K24" s="2"/>
      <c r="L24" s="2"/>
      <c r="M24" s="2"/>
    </row>
    <row r="25" spans="1:16" x14ac:dyDescent="0.25">
      <c r="A25" s="9"/>
      <c r="B25" s="2"/>
      <c r="C25" s="2"/>
      <c r="D25" s="2"/>
      <c r="E25" s="2"/>
      <c r="F25" s="6"/>
      <c r="G25" s="2"/>
      <c r="H25" s="2"/>
      <c r="I25" s="2"/>
      <c r="J25" s="10"/>
      <c r="K25" s="2"/>
      <c r="L25" s="2"/>
      <c r="M25" s="2"/>
    </row>
    <row r="26" spans="1:16" x14ac:dyDescent="0.25">
      <c r="A26" s="9"/>
      <c r="B26" s="2"/>
      <c r="C26" s="2"/>
      <c r="D26" s="2"/>
      <c r="E26" s="2"/>
      <c r="F26" s="6"/>
      <c r="G26" s="2"/>
      <c r="H26" s="2"/>
      <c r="I26" s="2"/>
      <c r="J26" s="10"/>
      <c r="K26" s="2"/>
      <c r="L26" s="2"/>
      <c r="M26" s="2"/>
    </row>
    <row r="27" spans="1:16" x14ac:dyDescent="0.25">
      <c r="A27" s="9"/>
      <c r="B27" s="2"/>
      <c r="C27" s="2"/>
      <c r="D27" s="2"/>
      <c r="E27" s="2"/>
      <c r="F27" s="6"/>
      <c r="G27" s="2"/>
      <c r="H27" s="2"/>
      <c r="I27" s="2"/>
      <c r="J27" s="10"/>
      <c r="K27" s="2"/>
      <c r="L27" s="2"/>
      <c r="M27" s="2"/>
    </row>
    <row r="28" spans="1:16" x14ac:dyDescent="0.25">
      <c r="A28" s="9"/>
      <c r="B28" s="2"/>
      <c r="C28" s="2"/>
      <c r="D28" s="2"/>
      <c r="E28" s="2"/>
      <c r="F28" s="6"/>
      <c r="G28" s="2"/>
      <c r="H28" s="2"/>
      <c r="I28" s="2"/>
      <c r="J28" s="10"/>
      <c r="K28" s="2"/>
      <c r="L28" s="2"/>
      <c r="M28" s="2"/>
    </row>
    <row r="29" spans="1:16" x14ac:dyDescent="0.25">
      <c r="A29" s="9"/>
      <c r="B29" s="2"/>
      <c r="C29" s="2"/>
      <c r="D29" s="2"/>
      <c r="E29" s="2"/>
      <c r="F29" s="6"/>
      <c r="G29" s="2"/>
      <c r="H29" s="2"/>
      <c r="I29" s="2"/>
      <c r="J29" s="10"/>
      <c r="K29" s="2"/>
      <c r="L29" s="2"/>
      <c r="M29" s="2"/>
    </row>
    <row r="30" spans="1:16" x14ac:dyDescent="0.25">
      <c r="A30" s="9"/>
      <c r="B30" s="2"/>
      <c r="C30" s="2"/>
      <c r="D30" s="2"/>
      <c r="E30" s="2"/>
      <c r="F30" s="6"/>
      <c r="G30" s="2"/>
      <c r="H30" s="2"/>
      <c r="I30" s="2"/>
      <c r="J30" s="10"/>
      <c r="K30" s="2"/>
      <c r="L30" s="2"/>
      <c r="M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3" spans="6:7" x14ac:dyDescent="0.25">
      <c r="F33" t="s">
        <v>114</v>
      </c>
      <c r="G33" s="18">
        <f>F7+F8+F9+F10+F11+F12+F13+F14+F15</f>
        <v>135500000</v>
      </c>
    </row>
  </sheetData>
  <mergeCells count="1">
    <mergeCell ref="C2:E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A4" workbookViewId="0">
      <selection activeCell="E13" sqref="E13"/>
    </sheetView>
  </sheetViews>
  <sheetFormatPr baseColWidth="10" defaultRowHeight="15" x14ac:dyDescent="0.25"/>
  <cols>
    <col min="1" max="1" width="15.140625" customWidth="1"/>
    <col min="2" max="2" width="22" customWidth="1"/>
    <col min="3" max="4" width="24.28515625" customWidth="1"/>
    <col min="5" max="5" width="23.28515625" style="86" customWidth="1"/>
    <col min="6" max="6" width="20.85546875" customWidth="1"/>
  </cols>
  <sheetData>
    <row r="1" spans="1:7" ht="15.75" thickBot="1" x14ac:dyDescent="0.3"/>
    <row r="2" spans="1:7" x14ac:dyDescent="0.25">
      <c r="B2" s="889" t="s">
        <v>177</v>
      </c>
      <c r="C2" s="890"/>
      <c r="D2" s="890"/>
      <c r="E2" s="890"/>
      <c r="F2" s="890"/>
    </row>
    <row r="3" spans="1:7" ht="15.75" thickBot="1" x14ac:dyDescent="0.3">
      <c r="B3" s="891"/>
      <c r="C3" s="892"/>
      <c r="D3" s="892"/>
      <c r="E3" s="892"/>
      <c r="F3" s="892"/>
    </row>
    <row r="4" spans="1:7" x14ac:dyDescent="0.25">
      <c r="G4" s="118" t="s">
        <v>189</v>
      </c>
    </row>
    <row r="5" spans="1:7" x14ac:dyDescent="0.25">
      <c r="A5" s="8" t="s">
        <v>29</v>
      </c>
      <c r="B5" s="8" t="s">
        <v>30</v>
      </c>
      <c r="C5" s="8" t="s">
        <v>1</v>
      </c>
      <c r="D5" s="8" t="s">
        <v>88</v>
      </c>
      <c r="E5" s="106" t="s">
        <v>4</v>
      </c>
      <c r="F5" s="8" t="s">
        <v>31</v>
      </c>
    </row>
    <row r="6" spans="1:7" x14ac:dyDescent="0.25">
      <c r="A6" s="2">
        <v>1</v>
      </c>
      <c r="B6" s="2">
        <v>4</v>
      </c>
      <c r="C6" s="2" t="s">
        <v>25</v>
      </c>
      <c r="D6" s="2" t="s">
        <v>9</v>
      </c>
      <c r="E6" s="20">
        <v>16500000</v>
      </c>
      <c r="F6" s="9">
        <v>43941</v>
      </c>
    </row>
    <row r="7" spans="1:7" x14ac:dyDescent="0.25">
      <c r="A7" s="2">
        <f>A6+1</f>
        <v>2</v>
      </c>
      <c r="B7" s="2">
        <v>7</v>
      </c>
      <c r="C7" s="2" t="s">
        <v>25</v>
      </c>
      <c r="D7" s="2" t="s">
        <v>11</v>
      </c>
      <c r="E7" s="20">
        <v>16000000</v>
      </c>
      <c r="F7" s="9">
        <f>F6</f>
        <v>43941</v>
      </c>
    </row>
    <row r="8" spans="1:7" x14ac:dyDescent="0.25">
      <c r="A8" s="2">
        <f t="shared" ref="A8:A24" si="0">A7+1</f>
        <v>3</v>
      </c>
      <c r="B8" s="2">
        <v>8</v>
      </c>
      <c r="C8" s="2" t="s">
        <v>25</v>
      </c>
      <c r="D8" s="2" t="s">
        <v>12</v>
      </c>
      <c r="E8" s="107">
        <v>16400000</v>
      </c>
      <c r="F8" s="9">
        <f>F7</f>
        <v>43941</v>
      </c>
    </row>
    <row r="9" spans="1:7" x14ac:dyDescent="0.25">
      <c r="A9" s="2">
        <f t="shared" si="0"/>
        <v>4</v>
      </c>
      <c r="B9" s="2">
        <v>10</v>
      </c>
      <c r="C9" s="2" t="s">
        <v>25</v>
      </c>
      <c r="D9" s="2" t="s">
        <v>14</v>
      </c>
      <c r="E9" s="20">
        <v>15500000</v>
      </c>
      <c r="F9" s="9">
        <v>43942</v>
      </c>
    </row>
    <row r="10" spans="1:7" x14ac:dyDescent="0.25">
      <c r="A10" s="2">
        <f t="shared" si="0"/>
        <v>5</v>
      </c>
      <c r="B10" s="2">
        <v>5</v>
      </c>
      <c r="C10" s="2" t="s">
        <v>25</v>
      </c>
      <c r="D10" s="2" t="s">
        <v>10</v>
      </c>
      <c r="E10" s="20">
        <v>15000000</v>
      </c>
      <c r="F10" s="9">
        <v>43942</v>
      </c>
    </row>
    <row r="11" spans="1:7" x14ac:dyDescent="0.25">
      <c r="A11" s="2">
        <f t="shared" si="0"/>
        <v>6</v>
      </c>
      <c r="B11" s="2">
        <v>3</v>
      </c>
      <c r="C11" s="2" t="s">
        <v>24</v>
      </c>
      <c r="D11" s="2" t="s">
        <v>8</v>
      </c>
      <c r="E11" s="20">
        <v>17250000</v>
      </c>
      <c r="F11" s="9">
        <v>43942</v>
      </c>
    </row>
    <row r="12" spans="1:7" x14ac:dyDescent="0.25">
      <c r="A12" s="2">
        <f t="shared" si="0"/>
        <v>7</v>
      </c>
      <c r="B12" s="2">
        <v>12</v>
      </c>
      <c r="C12" s="2" t="s">
        <v>87</v>
      </c>
      <c r="D12" s="2" t="s">
        <v>46</v>
      </c>
      <c r="E12" s="20">
        <v>14400000</v>
      </c>
      <c r="F12" s="9">
        <v>43943</v>
      </c>
    </row>
    <row r="13" spans="1:7" x14ac:dyDescent="0.25">
      <c r="A13" s="2">
        <f t="shared" si="0"/>
        <v>8</v>
      </c>
      <c r="B13" s="2">
        <v>11</v>
      </c>
      <c r="C13" s="2" t="s">
        <v>87</v>
      </c>
      <c r="D13" s="2" t="s">
        <v>19</v>
      </c>
      <c r="E13" s="20">
        <v>14600000</v>
      </c>
      <c r="F13" s="9">
        <v>43943</v>
      </c>
    </row>
    <row r="14" spans="1:7" x14ac:dyDescent="0.25">
      <c r="A14" s="2">
        <f t="shared" si="0"/>
        <v>9</v>
      </c>
      <c r="B14" s="2">
        <v>1</v>
      </c>
      <c r="C14" s="2" t="s">
        <v>27</v>
      </c>
      <c r="D14" s="2" t="s">
        <v>6</v>
      </c>
      <c r="E14" s="20">
        <v>22500000</v>
      </c>
      <c r="F14" s="9">
        <v>43944</v>
      </c>
    </row>
    <row r="15" spans="1:7" x14ac:dyDescent="0.25">
      <c r="A15" s="2">
        <f t="shared" si="0"/>
        <v>10</v>
      </c>
      <c r="B15" s="2">
        <v>9</v>
      </c>
      <c r="C15" s="2" t="s">
        <v>25</v>
      </c>
      <c r="D15" s="2" t="s">
        <v>13</v>
      </c>
      <c r="E15" s="20">
        <v>14000000</v>
      </c>
      <c r="F15" s="9">
        <v>43944</v>
      </c>
    </row>
    <row r="16" spans="1:7" x14ac:dyDescent="0.25">
      <c r="A16" s="2">
        <f t="shared" si="0"/>
        <v>11</v>
      </c>
      <c r="B16" s="2">
        <v>16</v>
      </c>
      <c r="C16" s="2" t="s">
        <v>89</v>
      </c>
      <c r="D16" s="2" t="s">
        <v>90</v>
      </c>
      <c r="E16" s="20">
        <v>11000000</v>
      </c>
      <c r="F16" s="9">
        <v>43944</v>
      </c>
    </row>
    <row r="17" spans="1:6" x14ac:dyDescent="0.25">
      <c r="A17" s="2">
        <f t="shared" si="0"/>
        <v>12</v>
      </c>
      <c r="B17" s="2">
        <v>14</v>
      </c>
      <c r="C17" s="2" t="s">
        <v>87</v>
      </c>
      <c r="D17" s="2" t="s">
        <v>21</v>
      </c>
      <c r="E17" s="20">
        <v>13425000</v>
      </c>
      <c r="F17" s="9">
        <v>43944</v>
      </c>
    </row>
    <row r="18" spans="1:6" x14ac:dyDescent="0.25">
      <c r="A18" s="2">
        <f t="shared" si="0"/>
        <v>13</v>
      </c>
      <c r="B18" s="2">
        <v>17</v>
      </c>
      <c r="C18" s="2" t="s">
        <v>147</v>
      </c>
      <c r="D18" s="2" t="s">
        <v>22</v>
      </c>
      <c r="E18" s="20">
        <v>16650000</v>
      </c>
      <c r="F18" s="9">
        <v>43947</v>
      </c>
    </row>
    <row r="19" spans="1:6" x14ac:dyDescent="0.25">
      <c r="A19" s="2">
        <f t="shared" si="0"/>
        <v>14</v>
      </c>
      <c r="B19" s="2">
        <v>10</v>
      </c>
      <c r="C19" s="2" t="s">
        <v>143</v>
      </c>
      <c r="D19" s="2" t="s">
        <v>7</v>
      </c>
      <c r="E19" s="20">
        <v>12000000</v>
      </c>
      <c r="F19" s="9">
        <v>43948</v>
      </c>
    </row>
    <row r="20" spans="1:6" x14ac:dyDescent="0.25">
      <c r="A20" s="2">
        <f t="shared" si="0"/>
        <v>15</v>
      </c>
      <c r="B20" s="2">
        <v>16</v>
      </c>
      <c r="C20" s="2" t="s">
        <v>146</v>
      </c>
      <c r="D20" s="2" t="s">
        <v>20</v>
      </c>
      <c r="E20" s="20">
        <v>13225000</v>
      </c>
      <c r="F20" s="9">
        <v>43948</v>
      </c>
    </row>
    <row r="21" spans="1:6" x14ac:dyDescent="0.25">
      <c r="A21" s="2">
        <f t="shared" si="0"/>
        <v>16</v>
      </c>
      <c r="B21" s="2">
        <v>16</v>
      </c>
      <c r="C21" s="2" t="s">
        <v>222</v>
      </c>
      <c r="D21" s="17" t="s">
        <v>115</v>
      </c>
      <c r="E21" s="20">
        <v>24000000</v>
      </c>
      <c r="F21" s="9">
        <v>43949</v>
      </c>
    </row>
    <row r="22" spans="1:6" x14ac:dyDescent="0.25">
      <c r="A22" s="2">
        <f t="shared" si="0"/>
        <v>17</v>
      </c>
      <c r="B22" s="2">
        <v>20</v>
      </c>
      <c r="C22" s="2" t="s">
        <v>223</v>
      </c>
      <c r="D22" s="2" t="s">
        <v>116</v>
      </c>
      <c r="E22" s="20">
        <v>17250000</v>
      </c>
      <c r="F22" s="9">
        <v>43949</v>
      </c>
    </row>
    <row r="23" spans="1:6" x14ac:dyDescent="0.25">
      <c r="A23" s="2">
        <f t="shared" si="0"/>
        <v>18</v>
      </c>
      <c r="B23" s="2">
        <v>21</v>
      </c>
      <c r="C23" s="2" t="s">
        <v>224</v>
      </c>
      <c r="D23" s="2" t="s">
        <v>194</v>
      </c>
      <c r="E23" s="20">
        <v>10500000</v>
      </c>
      <c r="F23" s="9">
        <v>43949</v>
      </c>
    </row>
    <row r="24" spans="1:6" x14ac:dyDescent="0.25">
      <c r="A24" s="2">
        <f t="shared" si="0"/>
        <v>19</v>
      </c>
      <c r="B24" s="2">
        <v>24</v>
      </c>
      <c r="C24" s="2" t="s">
        <v>224</v>
      </c>
      <c r="D24" s="2" t="s">
        <v>197</v>
      </c>
      <c r="E24" s="20">
        <v>10250000</v>
      </c>
      <c r="F24" s="9">
        <v>43949</v>
      </c>
    </row>
    <row r="25" spans="1:6" x14ac:dyDescent="0.25">
      <c r="A25" s="2"/>
      <c r="B25" s="2"/>
      <c r="C25" s="2"/>
      <c r="D25" s="2"/>
      <c r="E25" s="20"/>
      <c r="F25" s="2"/>
    </row>
    <row r="26" spans="1:6" x14ac:dyDescent="0.25">
      <c r="A26" s="2"/>
      <c r="B26" s="2"/>
      <c r="C26" s="2"/>
      <c r="D26" s="2"/>
      <c r="E26" s="20"/>
      <c r="F26" s="2"/>
    </row>
    <row r="27" spans="1:6" x14ac:dyDescent="0.25">
      <c r="D27" s="53" t="s">
        <v>91</v>
      </c>
      <c r="E27" s="85">
        <f>SUM(E6:E24)</f>
        <v>290450000</v>
      </c>
    </row>
  </sheetData>
  <mergeCells count="1">
    <mergeCell ref="B2:F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workbookViewId="0">
      <selection activeCell="C7" sqref="C7"/>
    </sheetView>
  </sheetViews>
  <sheetFormatPr baseColWidth="10" defaultRowHeight="15" x14ac:dyDescent="0.25"/>
  <cols>
    <col min="1" max="1" width="18" style="75" customWidth="1"/>
    <col min="2" max="2" width="19" style="82" customWidth="1"/>
    <col min="3" max="3" width="23" style="86" customWidth="1"/>
    <col min="4" max="5" width="22.140625" customWidth="1"/>
  </cols>
  <sheetData>
    <row r="2" spans="1:5" x14ac:dyDescent="0.25">
      <c r="B2" s="893" t="s">
        <v>182</v>
      </c>
      <c r="C2" s="894"/>
      <c r="D2" s="895"/>
    </row>
    <row r="3" spans="1:5" x14ac:dyDescent="0.25">
      <c r="B3" s="896"/>
      <c r="C3" s="897"/>
      <c r="D3" s="898"/>
    </row>
    <row r="5" spans="1:5" x14ac:dyDescent="0.25">
      <c r="D5" s="117" t="s">
        <v>185</v>
      </c>
    </row>
    <row r="6" spans="1:5" x14ac:dyDescent="0.25">
      <c r="A6" s="89" t="s">
        <v>183</v>
      </c>
      <c r="B6" s="90" t="s">
        <v>35</v>
      </c>
      <c r="C6" s="91" t="s">
        <v>184</v>
      </c>
    </row>
    <row r="7" spans="1:5" x14ac:dyDescent="0.25">
      <c r="A7" s="74">
        <v>1</v>
      </c>
      <c r="B7" s="9">
        <v>43937</v>
      </c>
      <c r="C7" s="20">
        <v>21000000</v>
      </c>
    </row>
    <row r="8" spans="1:5" x14ac:dyDescent="0.25">
      <c r="A8" s="74">
        <v>2</v>
      </c>
      <c r="B8" s="9">
        <v>43938</v>
      </c>
      <c r="C8" s="20">
        <v>48000000</v>
      </c>
    </row>
    <row r="9" spans="1:5" x14ac:dyDescent="0.25">
      <c r="A9" s="74">
        <v>3</v>
      </c>
      <c r="B9" s="9">
        <v>43940</v>
      </c>
      <c r="C9" s="20">
        <v>20750000</v>
      </c>
    </row>
    <row r="10" spans="1:5" x14ac:dyDescent="0.25">
      <c r="A10" s="74">
        <v>4</v>
      </c>
      <c r="B10" s="9">
        <v>43941</v>
      </c>
      <c r="C10" s="20">
        <v>67000000</v>
      </c>
    </row>
    <row r="11" spans="1:5" x14ac:dyDescent="0.25">
      <c r="A11" s="74">
        <v>5</v>
      </c>
      <c r="B11" s="9">
        <v>43941</v>
      </c>
      <c r="C11" s="20">
        <v>15750000</v>
      </c>
    </row>
    <row r="12" spans="1:5" x14ac:dyDescent="0.25">
      <c r="A12" s="74">
        <v>6</v>
      </c>
      <c r="B12" s="9">
        <v>43942</v>
      </c>
      <c r="C12" s="20">
        <v>67250000</v>
      </c>
    </row>
    <row r="13" spans="1:5" x14ac:dyDescent="0.25">
      <c r="A13" s="74">
        <v>7</v>
      </c>
      <c r="B13" s="9">
        <v>43943</v>
      </c>
      <c r="C13" s="20">
        <v>10000000</v>
      </c>
    </row>
    <row r="14" spans="1:5" x14ac:dyDescent="0.25">
      <c r="A14" s="74">
        <v>8</v>
      </c>
      <c r="B14" s="9">
        <v>43945</v>
      </c>
      <c r="C14" s="20">
        <v>36600000</v>
      </c>
      <c r="E14">
        <f>45000000+20000000+150000000+15250000</f>
        <v>230250000</v>
      </c>
    </row>
    <row r="15" spans="1:5" x14ac:dyDescent="0.25">
      <c r="A15" s="74">
        <v>9</v>
      </c>
      <c r="B15" s="9">
        <v>43948</v>
      </c>
      <c r="C15" s="20">
        <v>36000000</v>
      </c>
    </row>
    <row r="16" spans="1:5" x14ac:dyDescent="0.25">
      <c r="A16" s="74">
        <v>10</v>
      </c>
      <c r="B16" s="9">
        <v>43950</v>
      </c>
      <c r="C16" s="20">
        <v>43200000</v>
      </c>
    </row>
    <row r="17" spans="1:4" x14ac:dyDescent="0.25">
      <c r="A17" s="74">
        <f t="shared" ref="A17:A22" si="0">A16+1</f>
        <v>11</v>
      </c>
      <c r="B17" s="9">
        <v>43953</v>
      </c>
      <c r="C17" s="20">
        <v>2000000</v>
      </c>
      <c r="D17" s="140" t="s">
        <v>250</v>
      </c>
    </row>
    <row r="18" spans="1:4" x14ac:dyDescent="0.25">
      <c r="A18" s="74">
        <f t="shared" si="0"/>
        <v>12</v>
      </c>
      <c r="B18" s="9">
        <v>43954</v>
      </c>
      <c r="C18" s="20">
        <v>26500000</v>
      </c>
    </row>
    <row r="19" spans="1:4" x14ac:dyDescent="0.25">
      <c r="A19" s="74">
        <f t="shared" si="0"/>
        <v>13</v>
      </c>
      <c r="B19" s="9">
        <v>43956</v>
      </c>
      <c r="C19" s="20">
        <v>63650000</v>
      </c>
    </row>
    <row r="20" spans="1:4" x14ac:dyDescent="0.25">
      <c r="A20" s="74">
        <f t="shared" si="0"/>
        <v>14</v>
      </c>
      <c r="B20" s="9">
        <v>43958</v>
      </c>
      <c r="C20" s="20">
        <v>40000000</v>
      </c>
    </row>
    <row r="21" spans="1:4" x14ac:dyDescent="0.25">
      <c r="A21" s="74">
        <f t="shared" si="0"/>
        <v>15</v>
      </c>
      <c r="B21" s="9">
        <v>43959</v>
      </c>
      <c r="C21" s="20">
        <v>20000000</v>
      </c>
    </row>
    <row r="22" spans="1:4" x14ac:dyDescent="0.25">
      <c r="A22" s="74">
        <f t="shared" si="0"/>
        <v>16</v>
      </c>
      <c r="B22" s="9">
        <v>43961</v>
      </c>
      <c r="C22" s="20">
        <v>45000000</v>
      </c>
    </row>
    <row r="23" spans="1:4" x14ac:dyDescent="0.25">
      <c r="A23" s="74"/>
      <c r="B23" s="9"/>
      <c r="C23" s="20"/>
    </row>
  </sheetData>
  <mergeCells count="1">
    <mergeCell ref="B2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Views>
    <sheetView workbookViewId="0">
      <selection activeCell="B7" sqref="B7"/>
    </sheetView>
  </sheetViews>
  <sheetFormatPr baseColWidth="10" defaultRowHeight="15" x14ac:dyDescent="0.25"/>
  <cols>
    <col min="1" max="1" width="19.28515625" customWidth="1"/>
    <col min="2" max="2" width="18.42578125" customWidth="1"/>
    <col min="3" max="3" width="16.85546875" style="86" customWidth="1"/>
    <col min="4" max="4" width="28.42578125" style="86" customWidth="1"/>
    <col min="5" max="5" width="18.7109375" customWidth="1"/>
    <col min="6" max="6" width="15.85546875" customWidth="1"/>
    <col min="7" max="7" width="16.28515625" customWidth="1"/>
    <col min="8" max="8" width="23.140625" customWidth="1"/>
  </cols>
  <sheetData>
    <row r="2" spans="1:5" x14ac:dyDescent="0.25">
      <c r="A2" s="122" t="s">
        <v>200</v>
      </c>
    </row>
    <row r="3" spans="1:5" x14ac:dyDescent="0.25">
      <c r="A3" s="13"/>
      <c r="B3" s="13"/>
    </row>
    <row r="4" spans="1:5" x14ac:dyDescent="0.25">
      <c r="A4" s="121" t="s">
        <v>169</v>
      </c>
      <c r="B4" s="121" t="s">
        <v>202</v>
      </c>
      <c r="C4" s="150" t="s">
        <v>201</v>
      </c>
      <c r="D4" s="150" t="s">
        <v>203</v>
      </c>
      <c r="E4" s="121" t="s">
        <v>204</v>
      </c>
    </row>
    <row r="5" spans="1:5" x14ac:dyDescent="0.25">
      <c r="A5" s="2" t="s">
        <v>199</v>
      </c>
      <c r="B5" s="74">
        <f>9-E5</f>
        <v>0</v>
      </c>
      <c r="C5" s="20">
        <f>90000</f>
        <v>90000</v>
      </c>
      <c r="D5" s="20">
        <f>C5*B5</f>
        <v>0</v>
      </c>
      <c r="E5" s="2">
        <f>9</f>
        <v>9</v>
      </c>
    </row>
    <row r="6" spans="1:5" x14ac:dyDescent="0.25">
      <c r="A6" s="2" t="s">
        <v>349</v>
      </c>
      <c r="B6" s="2">
        <v>5</v>
      </c>
      <c r="C6" s="20">
        <f>250000</f>
        <v>250000</v>
      </c>
      <c r="D6" s="20">
        <f>B6*C6</f>
        <v>1250000</v>
      </c>
      <c r="E6" s="2">
        <f>13</f>
        <v>13</v>
      </c>
    </row>
    <row r="7" spans="1:5" x14ac:dyDescent="0.25">
      <c r="A7" s="2"/>
      <c r="B7" s="2"/>
      <c r="C7" s="20"/>
      <c r="D7" s="20"/>
      <c r="E7" s="2"/>
    </row>
    <row r="8" spans="1:5" x14ac:dyDescent="0.25">
      <c r="A8" s="2"/>
      <c r="B8" s="2"/>
      <c r="C8" s="20"/>
      <c r="D8" s="20"/>
      <c r="E8" s="2"/>
    </row>
    <row r="9" spans="1:5" x14ac:dyDescent="0.25">
      <c r="A9" s="2"/>
      <c r="B9" s="2"/>
      <c r="C9" s="20"/>
      <c r="D9" s="20"/>
      <c r="E9" s="2"/>
    </row>
    <row r="10" spans="1:5" x14ac:dyDescent="0.25">
      <c r="A10" s="2"/>
      <c r="B10" s="2"/>
      <c r="C10" s="20"/>
      <c r="D10" s="20"/>
      <c r="E10" s="2"/>
    </row>
    <row r="11" spans="1:5" x14ac:dyDescent="0.25">
      <c r="A11" s="2"/>
      <c r="B11" s="2"/>
      <c r="C11" s="20"/>
      <c r="D11" s="20"/>
      <c r="E11" s="2"/>
    </row>
    <row r="12" spans="1:5" x14ac:dyDescent="0.25">
      <c r="A12" s="2"/>
      <c r="B12" s="2"/>
      <c r="C12" s="20"/>
      <c r="D12" s="20"/>
      <c r="E12" s="2"/>
    </row>
    <row r="13" spans="1:5" x14ac:dyDescent="0.25">
      <c r="A13" s="2"/>
      <c r="B13" s="2"/>
      <c r="C13" s="20"/>
      <c r="D13" s="20"/>
      <c r="E13" s="2"/>
    </row>
    <row r="14" spans="1:5" x14ac:dyDescent="0.25">
      <c r="A14" s="2"/>
      <c r="B14" s="2"/>
      <c r="C14" s="20"/>
      <c r="D14" s="20"/>
      <c r="E14" s="2"/>
    </row>
    <row r="15" spans="1:5" x14ac:dyDescent="0.25">
      <c r="A15" s="2"/>
      <c r="B15" s="2"/>
      <c r="C15" s="20"/>
      <c r="D15" s="20"/>
      <c r="E15" s="2"/>
    </row>
    <row r="16" spans="1:5" x14ac:dyDescent="0.25">
      <c r="A16" s="2"/>
      <c r="B16" s="2"/>
      <c r="C16" s="20"/>
      <c r="D16" s="20"/>
      <c r="E16" s="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9"/>
  <sheetViews>
    <sheetView topLeftCell="A16" workbookViewId="0">
      <selection activeCell="B27" sqref="B27"/>
    </sheetView>
  </sheetViews>
  <sheetFormatPr baseColWidth="10" defaultRowHeight="15" x14ac:dyDescent="0.25"/>
  <cols>
    <col min="1" max="1" width="37.140625" customWidth="1"/>
    <col min="2" max="2" width="25.28515625" style="111" customWidth="1"/>
    <col min="3" max="3" width="27.42578125" style="83" customWidth="1"/>
    <col min="4" max="4" width="23.5703125" style="83" customWidth="1"/>
    <col min="5" max="5" width="23.7109375" style="83" customWidth="1"/>
    <col min="6" max="7" width="20.5703125" style="83" customWidth="1"/>
    <col min="8" max="8" width="13" customWidth="1"/>
  </cols>
  <sheetData>
    <row r="2" spans="1:9" ht="18.75" x14ac:dyDescent="0.25">
      <c r="B2" s="228"/>
      <c r="C2" s="241"/>
      <c r="D2" s="229"/>
      <c r="F2" s="83">
        <f>E2*11</f>
        <v>0</v>
      </c>
    </row>
    <row r="3" spans="1:9" x14ac:dyDescent="0.25">
      <c r="C3" s="114"/>
    </row>
    <row r="4" spans="1:9" x14ac:dyDescent="0.25">
      <c r="A4" s="154"/>
      <c r="B4" s="228"/>
      <c r="C4" s="229"/>
      <c r="D4" s="229"/>
      <c r="E4" s="229"/>
      <c r="F4" s="229"/>
      <c r="G4" s="229"/>
      <c r="H4" s="154"/>
    </row>
    <row r="5" spans="1:9" x14ac:dyDescent="0.25">
      <c r="A5" s="108"/>
      <c r="B5" s="112"/>
      <c r="C5" s="109"/>
      <c r="D5" s="109"/>
      <c r="E5" s="109"/>
      <c r="F5" s="231"/>
      <c r="G5" s="231"/>
      <c r="H5" s="62"/>
    </row>
    <row r="6" spans="1:9" ht="15.75" x14ac:dyDescent="0.25">
      <c r="A6" s="232"/>
      <c r="B6" s="233"/>
      <c r="C6" s="230"/>
      <c r="D6" s="230"/>
      <c r="E6" s="230"/>
      <c r="F6" s="230"/>
      <c r="G6" s="230"/>
      <c r="H6" s="62"/>
    </row>
    <row r="7" spans="1:9" x14ac:dyDescent="0.25">
      <c r="A7" s="234"/>
      <c r="B7" s="235"/>
      <c r="C7" s="236"/>
      <c r="D7" s="236"/>
      <c r="E7" s="237"/>
      <c r="F7" s="237"/>
      <c r="G7" s="237"/>
      <c r="H7" s="234"/>
      <c r="I7" s="13"/>
    </row>
    <row r="8" spans="1:9" x14ac:dyDescent="0.25">
      <c r="A8" s="234"/>
      <c r="B8" s="235"/>
      <c r="C8" s="236"/>
      <c r="D8" s="236"/>
      <c r="E8" s="237"/>
      <c r="F8" s="237"/>
      <c r="G8" s="237"/>
      <c r="H8" s="234"/>
      <c r="I8" s="13"/>
    </row>
    <row r="9" spans="1:9" x14ac:dyDescent="0.25">
      <c r="A9" s="234"/>
      <c r="B9" s="235"/>
      <c r="C9" s="236"/>
      <c r="D9" s="236"/>
      <c r="E9" s="237"/>
      <c r="F9" s="237"/>
      <c r="G9" s="237"/>
      <c r="H9" s="234"/>
      <c r="I9" s="13"/>
    </row>
    <row r="10" spans="1:9" x14ac:dyDescent="0.25">
      <c r="A10" s="234"/>
      <c r="B10" s="235"/>
      <c r="C10" s="236"/>
      <c r="D10" s="236"/>
      <c r="E10" s="237"/>
      <c r="F10" s="237"/>
      <c r="G10" s="237"/>
      <c r="H10" s="234"/>
      <c r="I10" s="13"/>
    </row>
    <row r="11" spans="1:9" x14ac:dyDescent="0.25">
      <c r="A11" s="234"/>
      <c r="B11" s="235"/>
      <c r="C11" s="236"/>
      <c r="D11" s="236"/>
      <c r="E11" s="231"/>
      <c r="F11" s="231"/>
      <c r="G11" s="231"/>
      <c r="H11" s="234"/>
      <c r="I11" s="13"/>
    </row>
    <row r="12" spans="1:9" x14ac:dyDescent="0.25">
      <c r="A12" s="234"/>
      <c r="B12" s="235"/>
      <c r="C12" s="236"/>
      <c r="D12" s="236"/>
      <c r="E12" s="231"/>
      <c r="F12" s="231"/>
      <c r="G12" s="231"/>
      <c r="H12" s="234"/>
      <c r="I12" s="13"/>
    </row>
    <row r="13" spans="1:9" x14ac:dyDescent="0.25">
      <c r="A13" s="234"/>
      <c r="B13" s="235"/>
      <c r="C13" s="236"/>
      <c r="D13" s="236"/>
      <c r="E13" s="231"/>
      <c r="F13" s="231"/>
      <c r="G13" s="231"/>
      <c r="H13" s="234"/>
      <c r="I13" s="13"/>
    </row>
    <row r="14" spans="1:9" x14ac:dyDescent="0.25">
      <c r="A14" s="234"/>
      <c r="B14" s="235"/>
      <c r="C14" s="236"/>
      <c r="D14" s="236"/>
      <c r="E14" s="231"/>
      <c r="F14" s="231"/>
      <c r="G14" s="231"/>
      <c r="H14" s="62"/>
    </row>
    <row r="15" spans="1:9" x14ac:dyDescent="0.25">
      <c r="A15" s="238" t="s">
        <v>186</v>
      </c>
      <c r="B15" s="239">
        <f>SUM(B7:B9)</f>
        <v>0</v>
      </c>
      <c r="C15" s="240">
        <f>SUM(C7:C9)</f>
        <v>0</v>
      </c>
      <c r="D15" s="240">
        <f>SUM(D7:D9)</f>
        <v>0</v>
      </c>
      <c r="E15" s="240">
        <f>SUM(E7:E9)</f>
        <v>0</v>
      </c>
      <c r="F15" s="240">
        <f>SUM(F7:F9)</f>
        <v>0</v>
      </c>
      <c r="G15" s="240"/>
      <c r="H15" s="62"/>
    </row>
    <row r="16" spans="1:9" x14ac:dyDescent="0.25">
      <c r="A16" s="13"/>
      <c r="B16" s="113"/>
      <c r="C16" s="110"/>
      <c r="D16" s="110"/>
    </row>
    <row r="17" spans="1:4" x14ac:dyDescent="0.25">
      <c r="A17" s="13"/>
      <c r="B17" s="113"/>
      <c r="C17" s="110"/>
      <c r="D17" s="110"/>
    </row>
    <row r="18" spans="1:4" x14ac:dyDescent="0.25">
      <c r="A18" s="13"/>
      <c r="B18" s="113"/>
      <c r="C18" s="899"/>
      <c r="D18" s="110"/>
    </row>
    <row r="19" spans="1:4" x14ac:dyDescent="0.25">
      <c r="A19" s="13"/>
      <c r="B19" s="113"/>
      <c r="C19" s="899"/>
      <c r="D19" s="110"/>
    </row>
    <row r="20" spans="1:4" x14ac:dyDescent="0.25">
      <c r="A20" s="13"/>
      <c r="B20" s="113"/>
      <c r="C20" s="899"/>
      <c r="D20" s="110"/>
    </row>
    <row r="21" spans="1:4" x14ac:dyDescent="0.25">
      <c r="A21" s="13"/>
      <c r="B21" s="113"/>
      <c r="C21" s="899"/>
      <c r="D21" s="110"/>
    </row>
    <row r="22" spans="1:4" x14ac:dyDescent="0.25">
      <c r="A22" s="13"/>
      <c r="B22" s="113"/>
      <c r="C22" s="899"/>
      <c r="D22" s="110"/>
    </row>
    <row r="23" spans="1:4" x14ac:dyDescent="0.25">
      <c r="C23" s="899"/>
    </row>
    <row r="24" spans="1:4" x14ac:dyDescent="0.25">
      <c r="C24" s="899"/>
    </row>
    <row r="27" spans="1:4" x14ac:dyDescent="0.25">
      <c r="A27" s="28" t="s">
        <v>99</v>
      </c>
      <c r="B27" s="111" t="s">
        <v>100</v>
      </c>
    </row>
    <row r="28" spans="1:4" x14ac:dyDescent="0.25">
      <c r="A28" s="28" t="s">
        <v>350</v>
      </c>
      <c r="B28" s="111" t="s">
        <v>351</v>
      </c>
    </row>
    <row r="29" spans="1:4" x14ac:dyDescent="0.25">
      <c r="A29" t="s">
        <v>352</v>
      </c>
      <c r="B29" s="111" t="s">
        <v>353</v>
      </c>
    </row>
  </sheetData>
  <mergeCells count="1">
    <mergeCell ref="C18:C2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B1" zoomScaleNormal="100" workbookViewId="0">
      <selection activeCell="I18" sqref="I18"/>
    </sheetView>
  </sheetViews>
  <sheetFormatPr baseColWidth="10" defaultRowHeight="15" x14ac:dyDescent="0.25"/>
  <cols>
    <col min="1" max="1" width="38.140625" customWidth="1"/>
    <col min="2" max="2" width="30.140625" customWidth="1"/>
    <col min="3" max="3" width="23.7109375" style="86" customWidth="1"/>
    <col min="4" max="4" width="20.5703125" customWidth="1"/>
    <col min="5" max="5" width="18.85546875" customWidth="1"/>
    <col min="6" max="6" width="18.140625" customWidth="1"/>
    <col min="8" max="8" width="20" customWidth="1"/>
    <col min="9" max="9" width="30.42578125" customWidth="1"/>
  </cols>
  <sheetData>
    <row r="1" spans="1:9" ht="15.75" thickBot="1" x14ac:dyDescent="0.3"/>
    <row r="2" spans="1:9" x14ac:dyDescent="0.25">
      <c r="A2" s="900" t="s">
        <v>249</v>
      </c>
    </row>
    <row r="3" spans="1:9" ht="15.75" thickBot="1" x14ac:dyDescent="0.3">
      <c r="A3" s="901"/>
    </row>
    <row r="4" spans="1:9" x14ac:dyDescent="0.25">
      <c r="D4" s="118" t="s">
        <v>188</v>
      </c>
    </row>
    <row r="5" spans="1:9" ht="15.75" x14ac:dyDescent="0.25">
      <c r="A5" s="115" t="s">
        <v>169</v>
      </c>
      <c r="B5" s="115" t="s">
        <v>31</v>
      </c>
      <c r="C5" s="116" t="s">
        <v>119</v>
      </c>
    </row>
    <row r="6" spans="1:9" x14ac:dyDescent="0.25">
      <c r="A6" s="2" t="s">
        <v>261</v>
      </c>
      <c r="B6" s="9">
        <v>43955</v>
      </c>
      <c r="C6" s="20">
        <v>100000</v>
      </c>
    </row>
    <row r="7" spans="1:9" x14ac:dyDescent="0.25">
      <c r="A7" s="2" t="s">
        <v>240</v>
      </c>
      <c r="B7" s="9">
        <v>43955</v>
      </c>
      <c r="C7" s="20">
        <v>75000</v>
      </c>
    </row>
    <row r="8" spans="1:9" x14ac:dyDescent="0.25">
      <c r="A8" s="2" t="s">
        <v>288</v>
      </c>
      <c r="B8" s="9">
        <v>43956</v>
      </c>
      <c r="C8" s="20">
        <v>50000</v>
      </c>
    </row>
    <row r="9" spans="1:9" x14ac:dyDescent="0.25">
      <c r="A9" s="2" t="s">
        <v>261</v>
      </c>
      <c r="B9" s="9">
        <v>43956</v>
      </c>
      <c r="C9" s="20">
        <v>100000</v>
      </c>
    </row>
    <row r="10" spans="1:9" x14ac:dyDescent="0.25">
      <c r="A10" s="2" t="s">
        <v>285</v>
      </c>
      <c r="B10" s="9">
        <v>43957</v>
      </c>
      <c r="C10" s="20">
        <v>50000</v>
      </c>
      <c r="D10" s="127"/>
    </row>
    <row r="11" spans="1:9" x14ac:dyDescent="0.25">
      <c r="A11" s="2" t="s">
        <v>289</v>
      </c>
      <c r="B11" s="9">
        <v>43957</v>
      </c>
      <c r="C11" s="20">
        <v>225000</v>
      </c>
    </row>
    <row r="12" spans="1:9" x14ac:dyDescent="0.25">
      <c r="A12" s="2" t="s">
        <v>240</v>
      </c>
      <c r="B12" s="9">
        <v>43957</v>
      </c>
      <c r="C12" s="20">
        <v>275000</v>
      </c>
    </row>
    <row r="13" spans="1:9" x14ac:dyDescent="0.25">
      <c r="A13" s="2" t="s">
        <v>290</v>
      </c>
      <c r="B13" s="9">
        <v>43958</v>
      </c>
      <c r="C13" s="20">
        <v>65000</v>
      </c>
    </row>
    <row r="14" spans="1:9" x14ac:dyDescent="0.25">
      <c r="A14" s="2" t="s">
        <v>240</v>
      </c>
      <c r="B14" s="9">
        <v>43958</v>
      </c>
      <c r="C14" s="20">
        <v>150000</v>
      </c>
    </row>
    <row r="15" spans="1:9" x14ac:dyDescent="0.25">
      <c r="A15" s="2" t="s">
        <v>300</v>
      </c>
      <c r="B15" s="9">
        <v>43960</v>
      </c>
      <c r="C15" s="20">
        <v>50000</v>
      </c>
    </row>
    <row r="16" spans="1:9" x14ac:dyDescent="0.25">
      <c r="A16" s="2" t="s">
        <v>302</v>
      </c>
      <c r="B16" s="9">
        <v>43961</v>
      </c>
      <c r="C16" s="20">
        <f>560000</f>
        <v>560000</v>
      </c>
      <c r="D16" t="s">
        <v>355</v>
      </c>
      <c r="E16" t="s">
        <v>356</v>
      </c>
      <c r="F16" t="s">
        <v>357</v>
      </c>
      <c r="G16" t="s">
        <v>358</v>
      </c>
      <c r="H16" t="s">
        <v>359</v>
      </c>
      <c r="I16" t="s">
        <v>360</v>
      </c>
    </row>
    <row r="17" spans="1:9" x14ac:dyDescent="0.25">
      <c r="A17" s="2"/>
      <c r="B17" s="9"/>
      <c r="C17" s="20"/>
      <c r="I17" t="s">
        <v>361</v>
      </c>
    </row>
    <row r="18" spans="1:9" x14ac:dyDescent="0.25">
      <c r="A18" s="2"/>
      <c r="B18" s="9"/>
      <c r="C18" s="20"/>
    </row>
    <row r="19" spans="1:9" x14ac:dyDescent="0.25">
      <c r="A19" s="2"/>
      <c r="B19" s="9"/>
      <c r="C19" s="20"/>
    </row>
    <row r="20" spans="1:9" x14ac:dyDescent="0.25">
      <c r="A20" s="2"/>
      <c r="B20" s="9"/>
      <c r="C20" s="20"/>
    </row>
    <row r="21" spans="1:9" x14ac:dyDescent="0.25">
      <c r="A21" s="2"/>
      <c r="B21" s="9"/>
      <c r="C21" s="20"/>
    </row>
    <row r="22" spans="1:9" x14ac:dyDescent="0.25">
      <c r="A22" s="2"/>
      <c r="B22" s="9"/>
      <c r="C22" s="20"/>
    </row>
    <row r="23" spans="1:9" x14ac:dyDescent="0.25">
      <c r="A23" s="128"/>
      <c r="B23" s="9"/>
      <c r="C23" s="20"/>
    </row>
    <row r="24" spans="1:9" x14ac:dyDescent="0.25">
      <c r="A24" s="128"/>
      <c r="B24" s="9"/>
      <c r="C24" s="20"/>
    </row>
    <row r="25" spans="1:9" x14ac:dyDescent="0.25">
      <c r="A25" s="128"/>
      <c r="B25" s="9"/>
      <c r="C25" s="20"/>
    </row>
    <row r="26" spans="1:9" x14ac:dyDescent="0.25">
      <c r="A26" s="128"/>
      <c r="B26" s="9"/>
      <c r="C26" s="20"/>
    </row>
    <row r="27" spans="1:9" x14ac:dyDescent="0.25">
      <c r="A27" s="128"/>
      <c r="B27" s="9"/>
      <c r="C27" s="20"/>
    </row>
    <row r="28" spans="1:9" x14ac:dyDescent="0.25">
      <c r="A28" s="62"/>
      <c r="B28" s="81"/>
      <c r="C28" s="103"/>
    </row>
    <row r="30" spans="1:9" x14ac:dyDescent="0.25">
      <c r="A30" s="4"/>
      <c r="B30" s="51" t="s">
        <v>37</v>
      </c>
      <c r="C30" s="151">
        <f>SUM(C6:C27)</f>
        <v>1700000</v>
      </c>
    </row>
  </sheetData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4" workbookViewId="0">
      <selection activeCell="D19" sqref="D19"/>
    </sheetView>
  </sheetViews>
  <sheetFormatPr baseColWidth="10" defaultRowHeight="15" x14ac:dyDescent="0.25"/>
  <cols>
    <col min="1" max="1" width="38.140625" customWidth="1"/>
    <col min="2" max="2" width="30.140625" customWidth="1"/>
    <col min="3" max="3" width="23.7109375" style="86" customWidth="1"/>
    <col min="4" max="4" width="22.7109375" customWidth="1"/>
    <col min="5" max="5" width="18.85546875" customWidth="1"/>
    <col min="6" max="6" width="18.140625" customWidth="1"/>
  </cols>
  <sheetData>
    <row r="1" spans="1:4" ht="15.75" thickBot="1" x14ac:dyDescent="0.3"/>
    <row r="2" spans="1:4" x14ac:dyDescent="0.25">
      <c r="A2" s="900" t="s">
        <v>219</v>
      </c>
    </row>
    <row r="3" spans="1:4" ht="15.75" thickBot="1" x14ac:dyDescent="0.3">
      <c r="A3" s="901"/>
    </row>
    <row r="4" spans="1:4" x14ac:dyDescent="0.25">
      <c r="D4" s="118" t="s">
        <v>188</v>
      </c>
    </row>
    <row r="5" spans="1:4" ht="15.75" x14ac:dyDescent="0.25">
      <c r="A5" s="115" t="s">
        <v>169</v>
      </c>
      <c r="B5" s="115" t="s">
        <v>31</v>
      </c>
      <c r="C5" s="116" t="s">
        <v>119</v>
      </c>
    </row>
    <row r="6" spans="1:4" x14ac:dyDescent="0.25">
      <c r="A6" s="2" t="s">
        <v>187</v>
      </c>
      <c r="B6" s="9">
        <v>43948</v>
      </c>
      <c r="C6" s="20">
        <v>50000</v>
      </c>
    </row>
    <row r="7" spans="1:4" x14ac:dyDescent="0.25">
      <c r="A7" s="2" t="s">
        <v>190</v>
      </c>
      <c r="B7" s="9">
        <v>43948</v>
      </c>
      <c r="C7" s="20">
        <v>100000</v>
      </c>
    </row>
    <row r="8" spans="1:4" x14ac:dyDescent="0.25">
      <c r="A8" s="2" t="s">
        <v>193</v>
      </c>
      <c r="B8" s="9">
        <v>43948</v>
      </c>
      <c r="C8" s="20">
        <v>400000</v>
      </c>
    </row>
    <row r="9" spans="1:4" x14ac:dyDescent="0.25">
      <c r="A9" s="2" t="s">
        <v>190</v>
      </c>
      <c r="B9" s="9">
        <v>43950</v>
      </c>
      <c r="C9" s="20">
        <v>50000</v>
      </c>
    </row>
    <row r="10" spans="1:4" x14ac:dyDescent="0.25">
      <c r="A10" s="2" t="s">
        <v>220</v>
      </c>
      <c r="B10" s="9">
        <v>43951</v>
      </c>
      <c r="C10" s="20">
        <v>200000</v>
      </c>
    </row>
    <row r="11" spans="1:4" x14ac:dyDescent="0.25">
      <c r="A11" s="2" t="s">
        <v>221</v>
      </c>
      <c r="B11" s="9">
        <v>43951</v>
      </c>
      <c r="C11" s="20">
        <v>200000</v>
      </c>
    </row>
    <row r="12" spans="1:4" x14ac:dyDescent="0.25">
      <c r="A12" s="2" t="s">
        <v>225</v>
      </c>
      <c r="B12" s="9">
        <v>43951</v>
      </c>
      <c r="C12" s="20">
        <v>500000</v>
      </c>
    </row>
    <row r="13" spans="1:4" x14ac:dyDescent="0.25">
      <c r="A13" s="2" t="s">
        <v>226</v>
      </c>
      <c r="B13" s="9">
        <v>43951</v>
      </c>
      <c r="C13" s="20">
        <v>180000</v>
      </c>
    </row>
    <row r="14" spans="1:4" x14ac:dyDescent="0.25">
      <c r="A14" s="2" t="s">
        <v>227</v>
      </c>
      <c r="B14" s="9">
        <v>43951</v>
      </c>
      <c r="C14" s="20">
        <v>65000</v>
      </c>
    </row>
    <row r="15" spans="1:4" x14ac:dyDescent="0.25">
      <c r="A15" s="2" t="s">
        <v>228</v>
      </c>
      <c r="B15" s="9">
        <v>43951</v>
      </c>
      <c r="C15" s="20">
        <v>100000</v>
      </c>
    </row>
    <row r="16" spans="1:4" x14ac:dyDescent="0.25">
      <c r="A16" s="2" t="s">
        <v>229</v>
      </c>
      <c r="B16" s="9">
        <v>43951</v>
      </c>
      <c r="C16" s="20">
        <v>100000</v>
      </c>
    </row>
    <row r="17" spans="1:3" x14ac:dyDescent="0.25">
      <c r="A17" s="2" t="s">
        <v>230</v>
      </c>
      <c r="B17" s="9">
        <v>43951</v>
      </c>
      <c r="C17" s="20">
        <v>100000</v>
      </c>
    </row>
    <row r="18" spans="1:3" x14ac:dyDescent="0.25">
      <c r="A18" s="2" t="s">
        <v>231</v>
      </c>
      <c r="B18" s="9">
        <v>43951</v>
      </c>
      <c r="C18" s="20">
        <v>30000</v>
      </c>
    </row>
    <row r="19" spans="1:3" x14ac:dyDescent="0.25">
      <c r="A19" s="2" t="s">
        <v>232</v>
      </c>
      <c r="B19" s="9">
        <v>43951</v>
      </c>
      <c r="C19" s="20">
        <v>10000</v>
      </c>
    </row>
    <row r="20" spans="1:3" x14ac:dyDescent="0.25">
      <c r="A20" s="2" t="s">
        <v>233</v>
      </c>
      <c r="B20" s="9">
        <v>43951</v>
      </c>
      <c r="C20" s="20">
        <v>40000</v>
      </c>
    </row>
    <row r="21" spans="1:3" x14ac:dyDescent="0.25">
      <c r="A21" s="128" t="s">
        <v>190</v>
      </c>
      <c r="B21" s="9">
        <v>43951</v>
      </c>
      <c r="C21" s="20">
        <v>50000</v>
      </c>
    </row>
    <row r="22" spans="1:3" x14ac:dyDescent="0.25">
      <c r="A22" s="128" t="s">
        <v>237</v>
      </c>
      <c r="B22" s="9">
        <v>43952</v>
      </c>
      <c r="C22" s="20">
        <v>350000</v>
      </c>
    </row>
    <row r="23" spans="1:3" x14ac:dyDescent="0.25">
      <c r="A23" s="128" t="s">
        <v>238</v>
      </c>
      <c r="B23" s="9">
        <v>43952</v>
      </c>
      <c r="C23" s="20">
        <v>100000</v>
      </c>
    </row>
    <row r="24" spans="1:3" x14ac:dyDescent="0.25">
      <c r="A24" s="128" t="s">
        <v>239</v>
      </c>
      <c r="B24" s="9">
        <v>43952</v>
      </c>
      <c r="C24" s="20">
        <v>350000</v>
      </c>
    </row>
    <row r="25" spans="1:3" x14ac:dyDescent="0.25">
      <c r="A25" s="128" t="s">
        <v>241</v>
      </c>
      <c r="B25" s="9">
        <v>43952</v>
      </c>
      <c r="C25" s="20">
        <v>25000</v>
      </c>
    </row>
    <row r="26" spans="1:3" x14ac:dyDescent="0.25">
      <c r="A26" s="62"/>
      <c r="B26" s="81"/>
      <c r="C26" s="103"/>
    </row>
    <row r="28" spans="1:3" x14ac:dyDescent="0.25">
      <c r="A28" s="4"/>
      <c r="B28" s="51" t="s">
        <v>37</v>
      </c>
      <c r="C28" s="242">
        <f>SUM(C6:C25)</f>
        <v>3000000</v>
      </c>
    </row>
  </sheetData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3"/>
  <sheetViews>
    <sheetView workbookViewId="0">
      <selection activeCell="C13" sqref="C13"/>
    </sheetView>
  </sheetViews>
  <sheetFormatPr baseColWidth="10" defaultRowHeight="15" x14ac:dyDescent="0.25"/>
  <cols>
    <col min="2" max="2" width="20.140625" customWidth="1"/>
    <col min="3" max="3" width="49.5703125" customWidth="1"/>
    <col min="4" max="4" width="17" customWidth="1"/>
  </cols>
  <sheetData>
    <row r="3" spans="2:10" ht="15" customHeight="1" x14ac:dyDescent="0.25">
      <c r="C3" s="903" t="s">
        <v>175</v>
      </c>
      <c r="F3" s="72"/>
      <c r="G3" s="73"/>
      <c r="H3" s="73"/>
      <c r="I3" s="73"/>
      <c r="J3" s="73"/>
    </row>
    <row r="4" spans="2:10" x14ac:dyDescent="0.25">
      <c r="C4" s="904"/>
      <c r="F4" s="73"/>
      <c r="G4" s="73"/>
      <c r="H4" s="73"/>
      <c r="I4" s="73"/>
      <c r="J4" s="73"/>
    </row>
    <row r="6" spans="2:10" x14ac:dyDescent="0.25">
      <c r="F6" s="902" t="s">
        <v>123</v>
      </c>
      <c r="G6" s="902"/>
    </row>
    <row r="7" spans="2:10" ht="15.75" x14ac:dyDescent="0.25">
      <c r="B7" s="50" t="s">
        <v>117</v>
      </c>
      <c r="C7" s="46" t="s">
        <v>118</v>
      </c>
      <c r="D7" s="46" t="s">
        <v>119</v>
      </c>
    </row>
    <row r="8" spans="2:10" x14ac:dyDescent="0.25">
      <c r="B8" s="19">
        <v>43942</v>
      </c>
      <c r="C8" s="48" t="s">
        <v>120</v>
      </c>
      <c r="D8" s="6">
        <v>67250000</v>
      </c>
    </row>
    <row r="9" spans="2:10" x14ac:dyDescent="0.25">
      <c r="B9" s="32">
        <v>43942</v>
      </c>
      <c r="C9" s="2" t="s">
        <v>121</v>
      </c>
      <c r="D9" s="6">
        <v>50000</v>
      </c>
    </row>
    <row r="10" spans="2:10" x14ac:dyDescent="0.25">
      <c r="B10" s="35">
        <v>43943</v>
      </c>
      <c r="C10" s="48" t="s">
        <v>122</v>
      </c>
      <c r="D10" s="6">
        <v>10000000</v>
      </c>
    </row>
    <row r="11" spans="2:10" x14ac:dyDescent="0.25">
      <c r="B11" s="49">
        <v>43943</v>
      </c>
      <c r="C11" s="2" t="s">
        <v>124</v>
      </c>
      <c r="D11" s="6">
        <v>50000</v>
      </c>
    </row>
    <row r="12" spans="2:10" x14ac:dyDescent="0.25">
      <c r="B12" s="41">
        <v>43945</v>
      </c>
      <c r="C12" s="2" t="s">
        <v>125</v>
      </c>
      <c r="D12" s="6">
        <v>21600000</v>
      </c>
    </row>
    <row r="13" spans="2:10" x14ac:dyDescent="0.25">
      <c r="B13" s="41">
        <v>43945</v>
      </c>
      <c r="C13" s="2" t="s">
        <v>126</v>
      </c>
      <c r="D13" s="6">
        <v>15000000</v>
      </c>
    </row>
    <row r="14" spans="2:10" x14ac:dyDescent="0.25">
      <c r="B14" s="41">
        <v>43945</v>
      </c>
      <c r="C14" s="2" t="s">
        <v>127</v>
      </c>
      <c r="D14" s="6">
        <v>125000</v>
      </c>
    </row>
    <row r="15" spans="2:10" x14ac:dyDescent="0.25">
      <c r="B15" s="41">
        <v>43945</v>
      </c>
      <c r="C15" s="2" t="s">
        <v>128</v>
      </c>
      <c r="D15" s="6">
        <v>75000</v>
      </c>
    </row>
    <row r="16" spans="2:10" x14ac:dyDescent="0.25">
      <c r="B16" s="41">
        <v>43945</v>
      </c>
      <c r="C16" s="2" t="s">
        <v>130</v>
      </c>
      <c r="D16" s="6">
        <v>125000</v>
      </c>
    </row>
    <row r="17" spans="2:4" x14ac:dyDescent="0.25">
      <c r="B17" s="61">
        <v>43946</v>
      </c>
      <c r="C17" s="48" t="s">
        <v>133</v>
      </c>
      <c r="D17" s="6">
        <f>250000+150000+25000</f>
        <v>425000</v>
      </c>
    </row>
    <row r="18" spans="2:4" x14ac:dyDescent="0.25">
      <c r="B18" s="60">
        <v>43946</v>
      </c>
      <c r="C18" s="2" t="s">
        <v>151</v>
      </c>
      <c r="D18" s="6">
        <v>325000</v>
      </c>
    </row>
    <row r="19" spans="2:4" x14ac:dyDescent="0.25">
      <c r="B19" s="2"/>
      <c r="C19" s="2"/>
      <c r="D19" s="2"/>
    </row>
    <row r="20" spans="2:4" x14ac:dyDescent="0.25">
      <c r="B20" s="2"/>
      <c r="C20" s="2"/>
      <c r="D20" s="2"/>
    </row>
    <row r="21" spans="2:4" x14ac:dyDescent="0.25">
      <c r="B21" s="2"/>
      <c r="C21" s="2"/>
      <c r="D21" s="2"/>
    </row>
    <row r="22" spans="2:4" x14ac:dyDescent="0.25">
      <c r="B22" s="2"/>
      <c r="C22" s="2"/>
      <c r="D22" s="2"/>
    </row>
    <row r="23" spans="2:4" x14ac:dyDescent="0.25">
      <c r="B23" s="2"/>
      <c r="C23" s="2"/>
      <c r="D23" s="2"/>
    </row>
    <row r="24" spans="2:4" x14ac:dyDescent="0.25">
      <c r="B24" s="2"/>
      <c r="C24" s="2"/>
      <c r="D24" s="2"/>
    </row>
    <row r="25" spans="2:4" x14ac:dyDescent="0.25">
      <c r="B25" s="2"/>
      <c r="C25" s="2"/>
      <c r="D25" s="2"/>
    </row>
    <row r="26" spans="2:4" x14ac:dyDescent="0.25">
      <c r="B26" s="2"/>
      <c r="C26" s="2"/>
      <c r="D26" s="2"/>
    </row>
    <row r="27" spans="2:4" x14ac:dyDescent="0.25">
      <c r="B27" s="2"/>
      <c r="C27" s="2"/>
      <c r="D27" s="2"/>
    </row>
    <row r="28" spans="2:4" x14ac:dyDescent="0.25">
      <c r="B28" s="2"/>
      <c r="C28" s="51" t="s">
        <v>37</v>
      </c>
      <c r="D28" s="52">
        <f>D16+D15+D14+D13+D12+D11+D10+D9+D8+D17+D18</f>
        <v>115025000</v>
      </c>
    </row>
    <row r="29" spans="2:4" x14ac:dyDescent="0.25">
      <c r="B29" s="4"/>
      <c r="C29" s="4"/>
      <c r="D29" s="4"/>
    </row>
    <row r="30" spans="2:4" x14ac:dyDescent="0.25">
      <c r="B30" s="4"/>
      <c r="C30" s="4"/>
      <c r="D30" s="4"/>
    </row>
    <row r="31" spans="2:4" x14ac:dyDescent="0.25">
      <c r="B31" s="4"/>
      <c r="C31" s="4"/>
      <c r="D31" s="4"/>
    </row>
    <row r="32" spans="2:4" x14ac:dyDescent="0.25">
      <c r="B32" s="4"/>
      <c r="C32" s="4"/>
      <c r="D32" s="4"/>
    </row>
    <row r="33" spans="2:4" x14ac:dyDescent="0.25">
      <c r="B33" s="4"/>
      <c r="C33" s="4"/>
      <c r="D33" s="4"/>
    </row>
    <row r="34" spans="2:4" x14ac:dyDescent="0.25">
      <c r="B34" s="4"/>
      <c r="C34" s="4"/>
      <c r="D34" s="4"/>
    </row>
    <row r="35" spans="2:4" x14ac:dyDescent="0.25">
      <c r="B35" s="4"/>
      <c r="C35" s="4"/>
      <c r="D35" s="4"/>
    </row>
    <row r="36" spans="2:4" x14ac:dyDescent="0.25">
      <c r="B36" s="4"/>
      <c r="C36" s="4"/>
      <c r="D36" s="4"/>
    </row>
    <row r="37" spans="2:4" x14ac:dyDescent="0.25">
      <c r="B37" s="4"/>
      <c r="C37" s="4"/>
      <c r="D37" s="4"/>
    </row>
    <row r="38" spans="2:4" x14ac:dyDescent="0.25">
      <c r="B38" s="4"/>
      <c r="C38" s="4"/>
      <c r="D38" s="4"/>
    </row>
    <row r="39" spans="2:4" x14ac:dyDescent="0.25">
      <c r="B39" s="4"/>
      <c r="C39" s="4"/>
      <c r="D39" s="4"/>
    </row>
    <row r="40" spans="2:4" x14ac:dyDescent="0.25">
      <c r="B40" s="4"/>
      <c r="C40" s="4"/>
      <c r="D40" s="4"/>
    </row>
    <row r="41" spans="2:4" x14ac:dyDescent="0.25">
      <c r="B41" s="4"/>
      <c r="C41" s="4"/>
      <c r="D41" s="4"/>
    </row>
    <row r="42" spans="2:4" x14ac:dyDescent="0.25">
      <c r="B42" s="4"/>
      <c r="C42" s="4"/>
      <c r="D42" s="4"/>
    </row>
    <row r="43" spans="2:4" x14ac:dyDescent="0.25">
      <c r="B43" s="4"/>
      <c r="C43" s="4"/>
      <c r="D43" s="4"/>
    </row>
  </sheetData>
  <mergeCells count="2">
    <mergeCell ref="F6:G6"/>
    <mergeCell ref="C3:C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10" workbookViewId="0">
      <selection activeCell="C35" sqref="C35"/>
    </sheetView>
  </sheetViews>
  <sheetFormatPr baseColWidth="10" defaultRowHeight="15" x14ac:dyDescent="0.25"/>
  <cols>
    <col min="1" max="1" width="15.42578125" style="80" customWidth="1"/>
    <col min="2" max="2" width="24.85546875" style="86" customWidth="1"/>
    <col min="3" max="3" width="25" style="86" customWidth="1"/>
    <col min="4" max="4" width="19.28515625" customWidth="1"/>
    <col min="5" max="5" width="36.85546875" customWidth="1"/>
    <col min="6" max="6" width="18.85546875" customWidth="1"/>
    <col min="7" max="7" width="22.5703125" customWidth="1"/>
    <col min="8" max="8" width="21.28515625" customWidth="1"/>
  </cols>
  <sheetData>
    <row r="1" spans="1:8" ht="15.75" thickBot="1" x14ac:dyDescent="0.3"/>
    <row r="2" spans="1:8" ht="15" customHeight="1" x14ac:dyDescent="0.25">
      <c r="C2" s="98"/>
      <c r="D2" s="905" t="s">
        <v>244</v>
      </c>
      <c r="E2" s="906"/>
      <c r="F2" s="906"/>
      <c r="G2" s="907"/>
    </row>
    <row r="3" spans="1:8" ht="15.75" thickBot="1" x14ac:dyDescent="0.3">
      <c r="C3" s="99"/>
      <c r="D3" s="908"/>
      <c r="E3" s="909"/>
      <c r="F3" s="909"/>
      <c r="G3" s="910"/>
    </row>
    <row r="4" spans="1:8" x14ac:dyDescent="0.25">
      <c r="A4" s="119" t="s">
        <v>44</v>
      </c>
    </row>
    <row r="5" spans="1:8" ht="15.75" thickBot="1" x14ac:dyDescent="0.3">
      <c r="B5" s="93" t="s">
        <v>42</v>
      </c>
      <c r="C5" s="100" t="s">
        <v>43</v>
      </c>
      <c r="D5" s="1" t="s">
        <v>31</v>
      </c>
      <c r="E5" s="1" t="s">
        <v>169</v>
      </c>
    </row>
    <row r="6" spans="1:8" ht="15.75" thickBot="1" x14ac:dyDescent="0.3">
      <c r="B6" s="94">
        <v>69800000</v>
      </c>
      <c r="C6" s="101"/>
      <c r="D6" s="64">
        <v>43953</v>
      </c>
      <c r="E6" s="130" t="s">
        <v>246</v>
      </c>
      <c r="G6" s="104" t="s">
        <v>245</v>
      </c>
      <c r="H6" s="86">
        <f>8650000</f>
        <v>8650000</v>
      </c>
    </row>
    <row r="7" spans="1:8" x14ac:dyDescent="0.25">
      <c r="B7" s="95">
        <v>10550000</v>
      </c>
      <c r="C7" s="102"/>
      <c r="D7" s="64">
        <v>43953</v>
      </c>
      <c r="E7" s="131" t="s">
        <v>247</v>
      </c>
    </row>
    <row r="8" spans="1:8" x14ac:dyDescent="0.25">
      <c r="B8" s="95">
        <v>10250000</v>
      </c>
      <c r="C8" s="102"/>
      <c r="D8" s="64">
        <v>43953</v>
      </c>
      <c r="E8" s="131" t="s">
        <v>247</v>
      </c>
    </row>
    <row r="9" spans="1:8" x14ac:dyDescent="0.25">
      <c r="B9" s="96"/>
      <c r="C9" s="102">
        <v>26500000</v>
      </c>
      <c r="D9" s="64">
        <v>43954</v>
      </c>
      <c r="E9" s="15" t="s">
        <v>248</v>
      </c>
    </row>
    <row r="10" spans="1:8" x14ac:dyDescent="0.25">
      <c r="B10" s="96"/>
      <c r="C10" s="102"/>
      <c r="D10" s="64"/>
      <c r="E10" s="15"/>
    </row>
    <row r="11" spans="1:8" x14ac:dyDescent="0.25">
      <c r="B11" s="96">
        <v>200000</v>
      </c>
      <c r="C11" s="102"/>
      <c r="D11" s="64">
        <v>43955</v>
      </c>
      <c r="E11" s="12" t="s">
        <v>257</v>
      </c>
    </row>
    <row r="12" spans="1:8" x14ac:dyDescent="0.25">
      <c r="B12" s="96"/>
      <c r="C12" s="102">
        <v>100000</v>
      </c>
      <c r="D12" s="64">
        <v>43955</v>
      </c>
      <c r="E12" s="12" t="s">
        <v>258</v>
      </c>
    </row>
    <row r="13" spans="1:8" x14ac:dyDescent="0.25">
      <c r="B13" s="96">
        <v>11350000</v>
      </c>
      <c r="C13" s="102"/>
      <c r="D13" s="64">
        <v>43955</v>
      </c>
      <c r="E13" s="12" t="s">
        <v>259</v>
      </c>
    </row>
    <row r="14" spans="1:8" x14ac:dyDescent="0.25">
      <c r="B14" s="96">
        <v>14000000</v>
      </c>
      <c r="C14" s="102"/>
      <c r="D14" s="64">
        <v>43955</v>
      </c>
      <c r="E14" s="12" t="s">
        <v>260</v>
      </c>
    </row>
    <row r="15" spans="1:8" x14ac:dyDescent="0.25">
      <c r="B15" s="96">
        <v>12000000</v>
      </c>
      <c r="C15" s="102"/>
      <c r="D15" s="64">
        <v>43955</v>
      </c>
      <c r="E15" s="12" t="s">
        <v>267</v>
      </c>
    </row>
    <row r="16" spans="1:8" x14ac:dyDescent="0.25">
      <c r="B16" s="96"/>
      <c r="C16" s="102">
        <v>75000</v>
      </c>
      <c r="D16" s="64">
        <v>43955</v>
      </c>
      <c r="E16" s="12" t="s">
        <v>240</v>
      </c>
    </row>
    <row r="17" spans="2:6" x14ac:dyDescent="0.25">
      <c r="B17" s="96"/>
      <c r="C17" s="102">
        <v>80000000</v>
      </c>
      <c r="D17" s="64">
        <v>43956</v>
      </c>
      <c r="E17" s="15" t="s">
        <v>248</v>
      </c>
    </row>
    <row r="18" spans="2:6" x14ac:dyDescent="0.25">
      <c r="B18" s="96"/>
      <c r="C18" s="102">
        <v>100000</v>
      </c>
      <c r="D18" s="64">
        <v>43956</v>
      </c>
      <c r="E18" s="12" t="s">
        <v>258</v>
      </c>
    </row>
    <row r="19" spans="2:6" x14ac:dyDescent="0.25">
      <c r="B19" s="96">
        <v>18350000</v>
      </c>
      <c r="C19" s="102"/>
      <c r="D19" s="64">
        <v>43956</v>
      </c>
      <c r="E19" s="12" t="s">
        <v>270</v>
      </c>
    </row>
    <row r="20" spans="2:6" x14ac:dyDescent="0.25">
      <c r="B20" s="96">
        <v>8000000</v>
      </c>
      <c r="C20" s="102"/>
      <c r="D20" s="64">
        <v>43956</v>
      </c>
      <c r="E20" s="12" t="s">
        <v>277</v>
      </c>
      <c r="F20" s="18"/>
    </row>
    <row r="21" spans="2:6" x14ac:dyDescent="0.25">
      <c r="B21" s="96">
        <v>9950000</v>
      </c>
      <c r="C21" s="103"/>
      <c r="D21" s="64">
        <v>43956</v>
      </c>
      <c r="E21" s="12" t="s">
        <v>278</v>
      </c>
    </row>
    <row r="22" spans="2:6" x14ac:dyDescent="0.25">
      <c r="B22" s="96">
        <v>10000000</v>
      </c>
      <c r="C22" s="103"/>
      <c r="D22" s="64">
        <v>43956</v>
      </c>
      <c r="E22" s="12" t="s">
        <v>279</v>
      </c>
    </row>
    <row r="23" spans="2:6" x14ac:dyDescent="0.25">
      <c r="B23" s="96"/>
      <c r="C23" s="103">
        <v>600000</v>
      </c>
      <c r="D23" s="64">
        <v>43957</v>
      </c>
      <c r="E23" s="12" t="s">
        <v>287</v>
      </c>
    </row>
    <row r="24" spans="2:6" x14ac:dyDescent="0.25">
      <c r="B24" s="96"/>
      <c r="C24" s="103">
        <v>40000000</v>
      </c>
      <c r="D24" s="64">
        <v>43958</v>
      </c>
      <c r="E24" s="12" t="s">
        <v>248</v>
      </c>
    </row>
    <row r="25" spans="2:6" x14ac:dyDescent="0.25">
      <c r="B25" s="96"/>
      <c r="C25" s="103">
        <v>65000</v>
      </c>
      <c r="D25" s="64">
        <v>43958</v>
      </c>
      <c r="E25" s="12" t="s">
        <v>286</v>
      </c>
    </row>
    <row r="26" spans="2:6" x14ac:dyDescent="0.25">
      <c r="B26" s="96">
        <v>13500000</v>
      </c>
      <c r="C26" s="103"/>
      <c r="D26" s="64">
        <v>43958</v>
      </c>
      <c r="E26" s="12" t="s">
        <v>295</v>
      </c>
    </row>
    <row r="27" spans="2:6" x14ac:dyDescent="0.25">
      <c r="B27" s="96">
        <v>24250000</v>
      </c>
      <c r="C27" s="103"/>
      <c r="D27" s="64">
        <v>43958</v>
      </c>
      <c r="E27" s="12" t="s">
        <v>270</v>
      </c>
    </row>
    <row r="28" spans="2:6" x14ac:dyDescent="0.25">
      <c r="B28" s="96"/>
      <c r="C28" s="103">
        <v>4250000</v>
      </c>
      <c r="D28" s="64">
        <v>43958</v>
      </c>
      <c r="E28" s="12" t="s">
        <v>296</v>
      </c>
    </row>
    <row r="29" spans="2:6" x14ac:dyDescent="0.25">
      <c r="B29" s="96"/>
      <c r="C29" s="103">
        <v>150000</v>
      </c>
      <c r="D29" s="64">
        <v>43958</v>
      </c>
      <c r="E29" s="12" t="s">
        <v>240</v>
      </c>
    </row>
    <row r="30" spans="2:6" x14ac:dyDescent="0.25">
      <c r="B30" s="96">
        <v>4250000</v>
      </c>
      <c r="C30" s="103"/>
      <c r="D30" s="64">
        <v>43959</v>
      </c>
      <c r="E30" s="12" t="s">
        <v>296</v>
      </c>
    </row>
    <row r="31" spans="2:6" x14ac:dyDescent="0.25">
      <c r="B31" s="96"/>
      <c r="C31" s="103">
        <v>20000000</v>
      </c>
      <c r="D31" s="64">
        <v>43959</v>
      </c>
      <c r="E31" s="12" t="s">
        <v>298</v>
      </c>
    </row>
    <row r="32" spans="2:6" x14ac:dyDescent="0.25">
      <c r="B32" s="96"/>
      <c r="C32" s="103">
        <v>50000</v>
      </c>
      <c r="D32" s="64">
        <v>43960</v>
      </c>
      <c r="E32" s="12" t="s">
        <v>299</v>
      </c>
    </row>
    <row r="33" spans="1:7" x14ac:dyDescent="0.25">
      <c r="B33" s="96">
        <v>16000000</v>
      </c>
      <c r="C33" s="103"/>
      <c r="D33" s="64">
        <v>43960</v>
      </c>
      <c r="E33" s="12" t="s">
        <v>301</v>
      </c>
    </row>
    <row r="34" spans="1:7" x14ac:dyDescent="0.25">
      <c r="B34" s="96"/>
      <c r="C34" s="103">
        <v>560000</v>
      </c>
      <c r="D34" s="64">
        <v>43961</v>
      </c>
      <c r="E34" s="2" t="s">
        <v>302</v>
      </c>
    </row>
    <row r="35" spans="1:7" x14ac:dyDescent="0.25">
      <c r="B35" s="132"/>
      <c r="C35" s="86">
        <v>45000000</v>
      </c>
      <c r="D35" s="64">
        <v>43961</v>
      </c>
      <c r="E35" s="43" t="s">
        <v>248</v>
      </c>
    </row>
    <row r="36" spans="1:7" ht="15.75" x14ac:dyDescent="0.25">
      <c r="A36" s="92" t="s">
        <v>37</v>
      </c>
      <c r="B36" s="97">
        <f>SUM(B6:B8,B11,B13:B15,B19:B22,B26:B27,B30,B33)</f>
        <v>232450000</v>
      </c>
      <c r="C36" s="97">
        <f>SUM(C9:C10,C12,C16:C18,C23:C25,C28:C29,C31:C32,C34:C35)</f>
        <v>217450000</v>
      </c>
      <c r="D36" s="69" t="s">
        <v>47</v>
      </c>
      <c r="E36" s="105">
        <f>B36-C36</f>
        <v>15000000</v>
      </c>
      <c r="F36" s="97">
        <f>E36-H6</f>
        <v>6350000</v>
      </c>
      <c r="G36" s="26" t="s">
        <v>48</v>
      </c>
    </row>
    <row r="37" spans="1:7" x14ac:dyDescent="0.25">
      <c r="E37" s="18"/>
    </row>
  </sheetData>
  <mergeCells count="1">
    <mergeCell ref="D2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4" workbookViewId="0">
      <selection activeCell="F28" sqref="F28"/>
    </sheetView>
  </sheetViews>
  <sheetFormatPr baseColWidth="10" defaultRowHeight="15" x14ac:dyDescent="0.25"/>
  <cols>
    <col min="1" max="1" width="15.42578125" style="80" customWidth="1"/>
    <col min="2" max="2" width="24.85546875" style="86" customWidth="1"/>
    <col min="3" max="3" width="25" style="86" customWidth="1"/>
    <col min="4" max="4" width="19.28515625" customWidth="1"/>
    <col min="5" max="5" width="36.85546875" customWidth="1"/>
    <col min="6" max="6" width="18.85546875" customWidth="1"/>
    <col min="7" max="7" width="22.5703125" customWidth="1"/>
    <col min="8" max="8" width="21.28515625" customWidth="1"/>
  </cols>
  <sheetData>
    <row r="1" spans="1:8" ht="15.75" thickBot="1" x14ac:dyDescent="0.3"/>
    <row r="2" spans="1:8" ht="15" customHeight="1" x14ac:dyDescent="0.25">
      <c r="C2" s="98"/>
      <c r="D2" s="905" t="s">
        <v>164</v>
      </c>
      <c r="E2" s="906"/>
      <c r="F2" s="906"/>
      <c r="G2" s="907"/>
    </row>
    <row r="3" spans="1:8" ht="15.75" thickBot="1" x14ac:dyDescent="0.3">
      <c r="C3" s="99"/>
      <c r="D3" s="908"/>
      <c r="E3" s="909"/>
      <c r="F3" s="909"/>
      <c r="G3" s="910"/>
    </row>
    <row r="4" spans="1:8" x14ac:dyDescent="0.25">
      <c r="A4" s="119" t="s">
        <v>44</v>
      </c>
    </row>
    <row r="5" spans="1:8" ht="15.75" thickBot="1" x14ac:dyDescent="0.3">
      <c r="B5" s="93" t="s">
        <v>42</v>
      </c>
      <c r="C5" s="100" t="s">
        <v>43</v>
      </c>
      <c r="D5" s="30" t="s">
        <v>31</v>
      </c>
      <c r="E5" s="1" t="s">
        <v>169</v>
      </c>
    </row>
    <row r="6" spans="1:8" ht="15.75" thickBot="1" x14ac:dyDescent="0.3">
      <c r="B6" s="94">
        <v>60800000</v>
      </c>
      <c r="C6" s="101"/>
      <c r="D6" s="70">
        <v>43946</v>
      </c>
      <c r="E6" s="7" t="s">
        <v>165</v>
      </c>
      <c r="G6" s="104" t="s">
        <v>168</v>
      </c>
      <c r="H6" s="86">
        <f>10675000</f>
        <v>10675000</v>
      </c>
    </row>
    <row r="7" spans="1:8" x14ac:dyDescent="0.25">
      <c r="B7" s="95">
        <v>16650000</v>
      </c>
      <c r="C7" s="102"/>
      <c r="D7" s="64">
        <v>43947</v>
      </c>
      <c r="E7" s="15" t="s">
        <v>166</v>
      </c>
    </row>
    <row r="8" spans="1:8" x14ac:dyDescent="0.25">
      <c r="B8" s="95">
        <v>12000000</v>
      </c>
      <c r="C8" s="102"/>
      <c r="D8" s="64">
        <v>43948</v>
      </c>
      <c r="E8" s="15" t="s">
        <v>167</v>
      </c>
    </row>
    <row r="9" spans="1:8" x14ac:dyDescent="0.25">
      <c r="B9" s="96">
        <v>13225000</v>
      </c>
      <c r="C9" s="102"/>
      <c r="D9" s="64">
        <v>43948</v>
      </c>
      <c r="E9" s="15" t="s">
        <v>176</v>
      </c>
    </row>
    <row r="10" spans="1:8" x14ac:dyDescent="0.25">
      <c r="B10" s="96"/>
      <c r="C10" s="102">
        <v>50000</v>
      </c>
      <c r="D10" s="64">
        <v>43948</v>
      </c>
      <c r="E10" s="12" t="s">
        <v>171</v>
      </c>
    </row>
    <row r="11" spans="1:8" x14ac:dyDescent="0.25">
      <c r="B11" s="96"/>
      <c r="C11" s="102">
        <v>36000000</v>
      </c>
      <c r="D11" s="64">
        <v>43948</v>
      </c>
      <c r="E11" s="12" t="s">
        <v>181</v>
      </c>
    </row>
    <row r="12" spans="1:8" x14ac:dyDescent="0.25">
      <c r="B12" s="96"/>
      <c r="C12" s="102">
        <v>100000</v>
      </c>
      <c r="D12" s="64">
        <v>43948</v>
      </c>
      <c r="E12" s="12" t="s">
        <v>191</v>
      </c>
    </row>
    <row r="13" spans="1:8" x14ac:dyDescent="0.25">
      <c r="B13" s="96"/>
      <c r="C13" s="102">
        <v>400000</v>
      </c>
      <c r="D13" s="64">
        <v>43948</v>
      </c>
      <c r="E13" s="12" t="s">
        <v>193</v>
      </c>
    </row>
    <row r="14" spans="1:8" x14ac:dyDescent="0.25">
      <c r="B14" s="96">
        <v>24000000</v>
      </c>
      <c r="C14" s="102"/>
      <c r="D14" s="71">
        <v>43949</v>
      </c>
      <c r="E14" s="12" t="s">
        <v>205</v>
      </c>
    </row>
    <row r="15" spans="1:8" x14ac:dyDescent="0.25">
      <c r="B15" s="96">
        <v>10500000</v>
      </c>
      <c r="C15" s="102"/>
      <c r="D15" s="64">
        <v>43949</v>
      </c>
      <c r="E15" s="12" t="s">
        <v>209</v>
      </c>
    </row>
    <row r="16" spans="1:8" x14ac:dyDescent="0.25">
      <c r="B16" s="96">
        <v>10250000</v>
      </c>
      <c r="C16" s="102"/>
      <c r="D16" s="64">
        <v>43949</v>
      </c>
      <c r="E16" s="12" t="s">
        <v>210</v>
      </c>
    </row>
    <row r="17" spans="1:7" x14ac:dyDescent="0.25">
      <c r="B17" s="96">
        <v>17250000</v>
      </c>
      <c r="C17" s="102"/>
      <c r="D17" s="64">
        <v>43949</v>
      </c>
      <c r="E17" s="12" t="s">
        <v>211</v>
      </c>
    </row>
    <row r="18" spans="1:7" x14ac:dyDescent="0.25">
      <c r="B18" s="96"/>
      <c r="C18" s="102">
        <v>43200000</v>
      </c>
      <c r="D18" s="64">
        <v>43950</v>
      </c>
      <c r="E18" s="12" t="s">
        <v>181</v>
      </c>
    </row>
    <row r="19" spans="1:7" x14ac:dyDescent="0.25">
      <c r="B19" s="96"/>
      <c r="C19" s="102">
        <v>50000</v>
      </c>
      <c r="D19" s="64">
        <v>43950</v>
      </c>
      <c r="E19" s="12" t="s">
        <v>212</v>
      </c>
    </row>
    <row r="20" spans="1:7" x14ac:dyDescent="0.25">
      <c r="B20" s="96"/>
      <c r="C20" s="102">
        <v>200000</v>
      </c>
      <c r="D20" s="126">
        <v>43951</v>
      </c>
      <c r="E20" s="12" t="s">
        <v>220</v>
      </c>
    </row>
    <row r="21" spans="1:7" x14ac:dyDescent="0.25">
      <c r="B21" s="96"/>
      <c r="C21" s="102">
        <v>200000</v>
      </c>
      <c r="D21" s="126">
        <v>43951</v>
      </c>
      <c r="E21" s="12" t="s">
        <v>235</v>
      </c>
      <c r="F21" s="18"/>
    </row>
    <row r="22" spans="1:7" x14ac:dyDescent="0.25">
      <c r="B22" s="96"/>
      <c r="C22" s="102">
        <v>1175000</v>
      </c>
      <c r="D22" s="64">
        <v>43951</v>
      </c>
      <c r="E22" s="12" t="s">
        <v>234</v>
      </c>
      <c r="F22" s="127"/>
    </row>
    <row r="23" spans="1:7" x14ac:dyDescent="0.25">
      <c r="B23" s="96"/>
      <c r="C23" s="102">
        <v>350000</v>
      </c>
      <c r="D23" s="64">
        <v>43952</v>
      </c>
      <c r="E23" s="12" t="s">
        <v>236</v>
      </c>
    </row>
    <row r="24" spans="1:7" x14ac:dyDescent="0.25">
      <c r="B24" s="96"/>
      <c r="C24" s="102">
        <v>100000</v>
      </c>
      <c r="D24" s="64">
        <v>43952</v>
      </c>
      <c r="E24" s="12" t="s">
        <v>238</v>
      </c>
      <c r="F24" s="18"/>
    </row>
    <row r="25" spans="1:7" x14ac:dyDescent="0.25">
      <c r="B25" s="96"/>
      <c r="C25" s="102">
        <v>350000</v>
      </c>
      <c r="D25" s="64">
        <v>43952</v>
      </c>
      <c r="E25" s="12" t="s">
        <v>240</v>
      </c>
      <c r="F25" s="18"/>
    </row>
    <row r="26" spans="1:7" x14ac:dyDescent="0.25">
      <c r="B26" s="96"/>
      <c r="C26" s="103">
        <v>25000</v>
      </c>
      <c r="D26" s="64">
        <v>43952</v>
      </c>
      <c r="E26" s="12" t="s">
        <v>241</v>
      </c>
    </row>
    <row r="27" spans="1:7" x14ac:dyDescent="0.25">
      <c r="B27" s="134"/>
      <c r="C27" s="135">
        <v>2000000</v>
      </c>
      <c r="D27" s="64">
        <v>43953</v>
      </c>
      <c r="E27" s="136" t="s">
        <v>242</v>
      </c>
    </row>
    <row r="28" spans="1:7" x14ac:dyDescent="0.25">
      <c r="B28" s="96"/>
      <c r="C28" s="103"/>
      <c r="D28" s="45"/>
      <c r="E28" s="12"/>
    </row>
    <row r="29" spans="1:7" x14ac:dyDescent="0.25">
      <c r="B29" s="96"/>
      <c r="C29" s="103"/>
      <c r="D29" s="45"/>
      <c r="E29" s="12"/>
    </row>
    <row r="30" spans="1:7" x14ac:dyDescent="0.25">
      <c r="B30" s="96"/>
      <c r="C30" s="103"/>
      <c r="D30" s="45"/>
      <c r="E30" s="12"/>
    </row>
    <row r="31" spans="1:7" x14ac:dyDescent="0.25">
      <c r="B31" s="96"/>
      <c r="D31" s="43"/>
      <c r="E31" s="43"/>
    </row>
    <row r="32" spans="1:7" ht="15.75" x14ac:dyDescent="0.25">
      <c r="A32" s="92" t="s">
        <v>37</v>
      </c>
      <c r="B32" s="97">
        <f>SUM(B6:B9,B14:B17)</f>
        <v>164675000</v>
      </c>
      <c r="C32" s="97">
        <f>SUM(C10:C13,C18:C27)</f>
        <v>84200000</v>
      </c>
      <c r="D32" s="69" t="s">
        <v>47</v>
      </c>
      <c r="E32" s="105">
        <f>B32-C32</f>
        <v>80475000</v>
      </c>
      <c r="F32" s="97">
        <f>E32-H6</f>
        <v>69800000</v>
      </c>
      <c r="G32" s="26" t="s">
        <v>48</v>
      </c>
    </row>
    <row r="33" spans="5:5" x14ac:dyDescent="0.25">
      <c r="E33" s="18"/>
    </row>
  </sheetData>
  <mergeCells count="1">
    <mergeCell ref="D2:G3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zoomScaleNormal="100" workbookViewId="0">
      <selection activeCell="C32" sqref="C32"/>
    </sheetView>
  </sheetViews>
  <sheetFormatPr baseColWidth="10" defaultRowHeight="15" x14ac:dyDescent="0.25"/>
  <cols>
    <col min="1" max="1" width="14" customWidth="1"/>
    <col min="2" max="2" width="27.28515625" customWidth="1"/>
    <col min="3" max="3" width="28.7109375" customWidth="1"/>
    <col min="4" max="4" width="19.140625" customWidth="1"/>
    <col min="5" max="5" width="21.7109375" customWidth="1"/>
    <col min="6" max="6" width="23.42578125" customWidth="1"/>
    <col min="7" max="7" width="20.42578125" customWidth="1"/>
  </cols>
  <sheetData>
    <row r="1" spans="1:7" ht="15.75" thickBot="1" x14ac:dyDescent="0.3"/>
    <row r="2" spans="1:7" x14ac:dyDescent="0.25">
      <c r="C2" s="911" t="s">
        <v>41</v>
      </c>
      <c r="D2" s="912"/>
      <c r="E2" s="912"/>
      <c r="F2" s="912"/>
      <c r="G2" s="913"/>
    </row>
    <row r="3" spans="1:7" ht="15.75" thickBot="1" x14ac:dyDescent="0.3">
      <c r="A3" s="16" t="s">
        <v>44</v>
      </c>
      <c r="C3" s="914"/>
      <c r="D3" s="915"/>
      <c r="E3" s="915"/>
      <c r="F3" s="915"/>
      <c r="G3" s="916"/>
    </row>
    <row r="5" spans="1:7" x14ac:dyDescent="0.25">
      <c r="B5" s="1" t="s">
        <v>42</v>
      </c>
      <c r="C5" s="14" t="s">
        <v>43</v>
      </c>
      <c r="D5" s="30" t="s">
        <v>31</v>
      </c>
      <c r="E5" s="18">
        <v>37400000</v>
      </c>
      <c r="F5" t="s">
        <v>45</v>
      </c>
    </row>
    <row r="6" spans="1:7" x14ac:dyDescent="0.25">
      <c r="B6" s="7">
        <v>16500000</v>
      </c>
      <c r="C6" s="29"/>
      <c r="D6" s="19">
        <v>43941</v>
      </c>
      <c r="E6" s="18">
        <v>94800000</v>
      </c>
      <c r="F6" t="s">
        <v>45</v>
      </c>
    </row>
    <row r="7" spans="1:7" x14ac:dyDescent="0.25">
      <c r="B7" s="55">
        <v>16400000</v>
      </c>
      <c r="C7" s="23"/>
      <c r="D7" s="32">
        <v>43941</v>
      </c>
      <c r="E7" s="18">
        <v>57875000</v>
      </c>
      <c r="F7" t="s">
        <v>131</v>
      </c>
    </row>
    <row r="8" spans="1:7" x14ac:dyDescent="0.25">
      <c r="B8" s="15">
        <v>16000000</v>
      </c>
      <c r="C8" s="12"/>
      <c r="D8" s="31">
        <v>43941</v>
      </c>
      <c r="E8" s="18">
        <f>F35</f>
        <v>60375000</v>
      </c>
      <c r="F8" t="s">
        <v>132</v>
      </c>
    </row>
    <row r="9" spans="1:7" x14ac:dyDescent="0.25">
      <c r="B9" s="15">
        <v>17250000</v>
      </c>
      <c r="C9" s="12"/>
      <c r="D9" s="22">
        <v>43942</v>
      </c>
    </row>
    <row r="10" spans="1:7" x14ac:dyDescent="0.25">
      <c r="B10" s="15">
        <v>15000000</v>
      </c>
      <c r="C10" s="12"/>
      <c r="D10" s="22">
        <v>43942</v>
      </c>
    </row>
    <row r="11" spans="1:7" x14ac:dyDescent="0.25">
      <c r="B11" s="15">
        <v>15500000</v>
      </c>
      <c r="C11" s="12"/>
      <c r="D11" s="22">
        <v>43942</v>
      </c>
    </row>
    <row r="12" spans="1:7" x14ac:dyDescent="0.25">
      <c r="B12" s="12"/>
      <c r="C12" s="15">
        <v>67250000</v>
      </c>
      <c r="D12" s="22">
        <v>43942</v>
      </c>
    </row>
    <row r="13" spans="1:7" x14ac:dyDescent="0.25">
      <c r="B13" s="12"/>
      <c r="C13" s="15">
        <v>50000</v>
      </c>
      <c r="D13" s="34">
        <v>43942</v>
      </c>
    </row>
    <row r="14" spans="1:7" x14ac:dyDescent="0.25">
      <c r="B14" s="15">
        <v>14400000</v>
      </c>
      <c r="C14" s="23"/>
      <c r="D14" s="35">
        <v>43943</v>
      </c>
    </row>
    <row r="15" spans="1:7" x14ac:dyDescent="0.25">
      <c r="B15" s="12"/>
      <c r="C15" s="33">
        <v>10000000</v>
      </c>
      <c r="D15" s="36">
        <v>43943</v>
      </c>
    </row>
    <row r="16" spans="1:7" x14ac:dyDescent="0.25">
      <c r="B16" s="15">
        <v>14600000</v>
      </c>
      <c r="C16" s="23"/>
      <c r="D16" s="36">
        <f>D15</f>
        <v>43943</v>
      </c>
    </row>
    <row r="17" spans="2:6" x14ac:dyDescent="0.25">
      <c r="B17" s="15"/>
      <c r="C17" s="33">
        <v>50000</v>
      </c>
      <c r="D17" s="36">
        <f>D16</f>
        <v>43943</v>
      </c>
    </row>
    <row r="18" spans="2:6" x14ac:dyDescent="0.25">
      <c r="B18" s="15">
        <v>22500000</v>
      </c>
      <c r="C18" s="23"/>
      <c r="D18" s="38">
        <v>43944</v>
      </c>
    </row>
    <row r="19" spans="2:6" x14ac:dyDescent="0.25">
      <c r="B19" s="15">
        <v>14000000</v>
      </c>
      <c r="C19" s="23"/>
      <c r="D19" s="37">
        <v>43944</v>
      </c>
    </row>
    <row r="20" spans="2:6" x14ac:dyDescent="0.25">
      <c r="B20" s="15">
        <v>11000000</v>
      </c>
      <c r="C20" s="23"/>
      <c r="D20" s="37">
        <v>43944</v>
      </c>
    </row>
    <row r="21" spans="2:6" x14ac:dyDescent="0.25">
      <c r="B21" s="15">
        <v>13425000</v>
      </c>
      <c r="C21" s="23"/>
      <c r="D21" s="39">
        <v>43944</v>
      </c>
    </row>
    <row r="22" spans="2:6" x14ac:dyDescent="0.25">
      <c r="B22" s="12"/>
      <c r="C22" s="15">
        <v>21600000</v>
      </c>
      <c r="D22" s="41">
        <v>43945</v>
      </c>
      <c r="F22" s="18"/>
    </row>
    <row r="23" spans="2:6" x14ac:dyDescent="0.25">
      <c r="B23" s="12"/>
      <c r="C23" s="33">
        <v>15000000</v>
      </c>
      <c r="D23" s="41">
        <v>43945</v>
      </c>
    </row>
    <row r="24" spans="2:6" x14ac:dyDescent="0.25">
      <c r="B24" s="12"/>
      <c r="C24" s="15">
        <v>125000</v>
      </c>
      <c r="D24" s="41">
        <v>43945</v>
      </c>
      <c r="F24" s="18"/>
    </row>
    <row r="25" spans="2:6" x14ac:dyDescent="0.25">
      <c r="B25" s="12"/>
      <c r="C25" s="15">
        <v>75000</v>
      </c>
      <c r="D25" s="41">
        <v>43945</v>
      </c>
      <c r="F25" s="18"/>
    </row>
    <row r="26" spans="2:6" x14ac:dyDescent="0.25">
      <c r="B26" s="12"/>
      <c r="C26" s="44">
        <v>125000</v>
      </c>
      <c r="D26" s="42">
        <v>43945</v>
      </c>
    </row>
    <row r="27" spans="2:6" x14ac:dyDescent="0.25">
      <c r="B27" s="12"/>
      <c r="C27" s="44">
        <v>425000</v>
      </c>
      <c r="D27" s="47">
        <v>43946</v>
      </c>
    </row>
    <row r="28" spans="2:6" x14ac:dyDescent="0.25">
      <c r="B28" s="12"/>
      <c r="C28" s="44">
        <v>325000</v>
      </c>
      <c r="D28" s="60">
        <v>43946</v>
      </c>
    </row>
    <row r="29" spans="2:6" x14ac:dyDescent="0.25">
      <c r="B29" s="15"/>
      <c r="C29" s="44"/>
      <c r="D29" s="68"/>
    </row>
    <row r="30" spans="2:6" x14ac:dyDescent="0.25">
      <c r="B30" s="15"/>
      <c r="C30" s="44"/>
      <c r="D30" s="64"/>
    </row>
    <row r="31" spans="2:6" x14ac:dyDescent="0.25">
      <c r="B31" s="12"/>
      <c r="C31" s="44"/>
      <c r="D31" s="64"/>
    </row>
    <row r="32" spans="2:6" x14ac:dyDescent="0.25">
      <c r="B32" s="12"/>
      <c r="C32" s="44"/>
      <c r="D32" s="45"/>
    </row>
    <row r="33" spans="1:7" x14ac:dyDescent="0.25">
      <c r="B33" s="12"/>
      <c r="C33" s="44"/>
      <c r="D33" s="45"/>
    </row>
    <row r="34" spans="1:7" x14ac:dyDescent="0.25">
      <c r="B34" s="12"/>
      <c r="D34" s="43"/>
    </row>
    <row r="35" spans="1:7" ht="15.75" x14ac:dyDescent="0.25">
      <c r="A35" s="40" t="s">
        <v>37</v>
      </c>
      <c r="B35" s="25">
        <f>B11+B10+B9+B8+B7+B6+B14+B16+B18+B19+B20+B21+B29+B30</f>
        <v>186575000</v>
      </c>
      <c r="C35" s="25">
        <f>C17+C15+C13+C12+C22+C23+C24+C25+C26+C27+C28</f>
        <v>115025000</v>
      </c>
      <c r="D35" s="26" t="s">
        <v>47</v>
      </c>
      <c r="E35" s="27">
        <f>B35-C35</f>
        <v>71550000</v>
      </c>
      <c r="F35" s="25">
        <f>E35-11175000</f>
        <v>60375000</v>
      </c>
      <c r="G35" s="26" t="s">
        <v>48</v>
      </c>
    </row>
    <row r="36" spans="1:7" x14ac:dyDescent="0.25">
      <c r="E36" s="18"/>
    </row>
  </sheetData>
  <mergeCells count="1">
    <mergeCell ref="C2:G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DB_1,0</vt:lpstr>
      <vt:lpstr>DB_ClientSM</vt:lpstr>
      <vt:lpstr>Double_C</vt:lpstr>
      <vt:lpstr>prix pieces refa hanao achat</vt:lpstr>
      <vt:lpstr>DB_Pièces_SM</vt:lpstr>
      <vt:lpstr>Liste prospects</vt:lpstr>
      <vt:lpstr>DB</vt:lpstr>
      <vt:lpstr>Liste ventes motos</vt:lpstr>
      <vt:lpstr>liste achats</vt:lpstr>
      <vt:lpstr>Ventes pieces</vt:lpstr>
      <vt:lpstr>Capital Dada sy Neny</vt:lpstr>
      <vt:lpstr>Dépenses_Se04</vt:lpstr>
      <vt:lpstr>Dépenses_Se03</vt:lpstr>
      <vt:lpstr>Détails Sortie S02</vt:lpstr>
      <vt:lpstr>Flux S04</vt:lpstr>
      <vt:lpstr>FLux S03</vt:lpstr>
      <vt:lpstr>Flux E-S S02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Brenda</cp:lastModifiedBy>
  <cp:lastPrinted>2020-09-23T11:04:09Z</cp:lastPrinted>
  <dcterms:created xsi:type="dcterms:W3CDTF">2020-04-21T11:34:49Z</dcterms:created>
  <dcterms:modified xsi:type="dcterms:W3CDTF">1980-01-04T13:00:22Z</dcterms:modified>
</cp:coreProperties>
</file>